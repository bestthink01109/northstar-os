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fuminariaksse/Desktop/メイン/KANOU経営サポート/共生/0_シフト表/2026年5月分/"/>
    </mc:Choice>
  </mc:AlternateContent>
  <xr:revisionPtr revIDLastSave="0" documentId="13_ncr:1_{C64002C9-7FBE-2B48-A32E-C867E2F09F77}" xr6:coauthVersionLast="47" xr6:coauthVersionMax="47" xr10:uidLastSave="{00000000-0000-0000-0000-000000000000}"/>
  <bookViews>
    <workbookView xWindow="0" yWindow="600" windowWidth="14400" windowHeight="16120" xr2:uid="{00000000-000D-0000-FFFF-FFFF00000000}"/>
  </bookViews>
  <sheets>
    <sheet name="入力フォーム" sheetId="3" r:id="rId1"/>
    <sheet name="Sheet2" sheetId="11" state="hidden" r:id="rId2"/>
    <sheet name="予定2対応" sheetId="9" r:id="rId3"/>
    <sheet name="結果1" sheetId="7" r:id="rId4"/>
    <sheet name="結果2" sheetId="8" r:id="rId5"/>
    <sheet name="リスト表" sheetId="4" r:id="rId6"/>
  </sheets>
  <definedNames>
    <definedName name="_xlnm.Print_Area" localSheetId="0">入力フォーム!$B$2:$AK$25</definedName>
    <definedName name="希">入力フォーム!$H$7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3" l="1"/>
  <c r="G28" i="3"/>
  <c r="G27" i="3"/>
  <c r="BL12" i="3"/>
  <c r="I24" i="11"/>
  <c r="BL13" i="3"/>
  <c r="BL14" i="3"/>
  <c r="BE14" i="3"/>
  <c r="BH14" i="3" s="1"/>
  <c r="BE13" i="3"/>
  <c r="BH13" i="3" s="1"/>
  <c r="BE12" i="3"/>
  <c r="BH12" i="3" s="1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BI18" i="3"/>
  <c r="BJ18" i="3"/>
  <c r="BK18" i="3"/>
  <c r="BD25" i="3"/>
  <c r="BE22" i="3"/>
  <c r="BC18" i="3"/>
  <c r="BE15" i="3"/>
  <c r="BH15" i="3" s="1"/>
  <c r="BG18" i="3"/>
  <c r="BF18" i="3"/>
  <c r="BD18" i="3"/>
  <c r="BE17" i="3"/>
  <c r="BH17" i="3" s="1"/>
  <c r="BE16" i="3"/>
  <c r="BH16" i="3" s="1"/>
  <c r="BE10" i="3"/>
  <c r="BH10" i="3" s="1"/>
  <c r="BE9" i="3"/>
  <c r="BH9" i="3" s="1"/>
  <c r="BE8" i="3"/>
  <c r="BH8" i="3" s="1"/>
  <c r="BE7" i="3"/>
  <c r="BH7" i="3" s="1"/>
  <c r="BE6" i="3"/>
  <c r="AT6" i="3"/>
  <c r="AT7" i="3"/>
  <c r="AT8" i="3"/>
  <c r="AT9" i="3"/>
  <c r="AT10" i="3"/>
  <c r="AT11" i="3"/>
  <c r="AT12" i="3"/>
  <c r="AT13" i="3"/>
  <c r="E7" i="11"/>
  <c r="E23" i="11"/>
  <c r="G23" i="11"/>
  <c r="H23" i="11"/>
  <c r="D23" i="11"/>
  <c r="F13" i="11"/>
  <c r="F14" i="11"/>
  <c r="I14" i="11" s="1"/>
  <c r="F15" i="11"/>
  <c r="I15" i="11" s="1"/>
  <c r="F16" i="11"/>
  <c r="I16" i="11" s="1"/>
  <c r="F17" i="11"/>
  <c r="I17" i="11" s="1"/>
  <c r="F18" i="11"/>
  <c r="I18" i="11" s="1"/>
  <c r="F19" i="11"/>
  <c r="I19" i="11" s="1"/>
  <c r="F20" i="11"/>
  <c r="I20" i="11" s="1"/>
  <c r="F21" i="11"/>
  <c r="I21" i="11" s="1"/>
  <c r="F22" i="11"/>
  <c r="I22" i="11" s="1"/>
  <c r="F12" i="11"/>
  <c r="I12" i="11" s="1"/>
  <c r="D10" i="11"/>
  <c r="D2" i="7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J38" i="3"/>
  <c r="AK38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H41" i="3"/>
  <c r="I41" i="3"/>
  <c r="J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G42" i="3"/>
  <c r="G41" i="3"/>
  <c r="G40" i="3"/>
  <c r="G39" i="3"/>
  <c r="G38" i="3"/>
  <c r="H27" i="3"/>
  <c r="I27" i="3"/>
  <c r="J27" i="3"/>
  <c r="K27" i="3"/>
  <c r="L27" i="3"/>
  <c r="M27" i="3"/>
  <c r="N27" i="3"/>
  <c r="O27" i="3"/>
  <c r="P27" i="3"/>
  <c r="Q27" i="3"/>
  <c r="R27" i="3"/>
  <c r="S27" i="3"/>
  <c r="T27" i="3"/>
  <c r="U27" i="3"/>
  <c r="V27" i="3"/>
  <c r="W27" i="3"/>
  <c r="X27" i="3"/>
  <c r="Y27" i="3"/>
  <c r="Z27" i="3"/>
  <c r="AA27" i="3"/>
  <c r="AB27" i="3"/>
  <c r="AC27" i="3"/>
  <c r="AD27" i="3"/>
  <c r="AE27" i="3"/>
  <c r="AF27" i="3"/>
  <c r="AG27" i="3"/>
  <c r="AH27" i="3"/>
  <c r="AI27" i="3"/>
  <c r="AJ27" i="3"/>
  <c r="AK27" i="3"/>
  <c r="H28" i="3"/>
  <c r="I28" i="3"/>
  <c r="J28" i="3"/>
  <c r="K28" i="3"/>
  <c r="L28" i="3"/>
  <c r="M28" i="3"/>
  <c r="N28" i="3"/>
  <c r="O28" i="3"/>
  <c r="P28" i="3"/>
  <c r="Q28" i="3"/>
  <c r="R28" i="3"/>
  <c r="S28" i="3"/>
  <c r="T28" i="3"/>
  <c r="U28" i="3"/>
  <c r="V28" i="3"/>
  <c r="W28" i="3"/>
  <c r="X28" i="3"/>
  <c r="Y28" i="3"/>
  <c r="Z28" i="3"/>
  <c r="AA28" i="3"/>
  <c r="AB28" i="3"/>
  <c r="AC28" i="3"/>
  <c r="AD28" i="3"/>
  <c r="AE28" i="3"/>
  <c r="AF28" i="3"/>
  <c r="AG28" i="3"/>
  <c r="AH28" i="3"/>
  <c r="AI28" i="3"/>
  <c r="AJ28" i="3"/>
  <c r="AK28" i="3"/>
  <c r="H29" i="3"/>
  <c r="I29" i="3"/>
  <c r="J29" i="3"/>
  <c r="K29" i="3"/>
  <c r="L29" i="3"/>
  <c r="M29" i="3"/>
  <c r="N29" i="3"/>
  <c r="O29" i="3"/>
  <c r="P29" i="3"/>
  <c r="Q29" i="3"/>
  <c r="R29" i="3"/>
  <c r="S29" i="3"/>
  <c r="T29" i="3"/>
  <c r="U29" i="3"/>
  <c r="V29" i="3"/>
  <c r="W29" i="3"/>
  <c r="X29" i="3"/>
  <c r="Y29" i="3"/>
  <c r="Z29" i="3"/>
  <c r="AA29" i="3"/>
  <c r="AB29" i="3"/>
  <c r="AC29" i="3"/>
  <c r="AD29" i="3"/>
  <c r="AE29" i="3"/>
  <c r="AF29" i="3"/>
  <c r="AG29" i="3"/>
  <c r="AH29" i="3"/>
  <c r="AI29" i="3"/>
  <c r="AJ29" i="3"/>
  <c r="AK29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H32" i="3"/>
  <c r="I32" i="3"/>
  <c r="J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H32" i="3"/>
  <c r="AI32" i="3"/>
  <c r="AJ32" i="3"/>
  <c r="AK32" i="3"/>
  <c r="G30" i="3"/>
  <c r="AM7" i="3"/>
  <c r="AN7" i="3"/>
  <c r="AO7" i="3"/>
  <c r="AP7" i="3"/>
  <c r="AQ7" i="3"/>
  <c r="AR7" i="3"/>
  <c r="AS7" i="3"/>
  <c r="AU7" i="3"/>
  <c r="AV7" i="3"/>
  <c r="AW7" i="3"/>
  <c r="AX7" i="3"/>
  <c r="AM8" i="3"/>
  <c r="AN8" i="3"/>
  <c r="AO8" i="3"/>
  <c r="AP8" i="3"/>
  <c r="AQ8" i="3"/>
  <c r="AR8" i="3"/>
  <c r="AS8" i="3"/>
  <c r="AU8" i="3"/>
  <c r="AV8" i="3"/>
  <c r="AW8" i="3"/>
  <c r="AX8" i="3"/>
  <c r="AM9" i="3"/>
  <c r="AN9" i="3"/>
  <c r="AO9" i="3"/>
  <c r="AP9" i="3"/>
  <c r="AQ9" i="3"/>
  <c r="AR9" i="3"/>
  <c r="AS9" i="3"/>
  <c r="AU9" i="3"/>
  <c r="AV9" i="3"/>
  <c r="AW9" i="3"/>
  <c r="AX9" i="3"/>
  <c r="AM10" i="3"/>
  <c r="AN10" i="3"/>
  <c r="AO10" i="3"/>
  <c r="AP10" i="3"/>
  <c r="AQ10" i="3"/>
  <c r="AR10" i="3"/>
  <c r="AS10" i="3"/>
  <c r="AU10" i="3"/>
  <c r="AV10" i="3"/>
  <c r="AW10" i="3"/>
  <c r="AX10" i="3"/>
  <c r="AM11" i="3"/>
  <c r="AN11" i="3"/>
  <c r="AO11" i="3"/>
  <c r="AP11" i="3"/>
  <c r="AQ11" i="3"/>
  <c r="AR11" i="3"/>
  <c r="AS11" i="3"/>
  <c r="AU11" i="3"/>
  <c r="AV11" i="3"/>
  <c r="AW11" i="3"/>
  <c r="AX11" i="3"/>
  <c r="AM12" i="3"/>
  <c r="AN12" i="3"/>
  <c r="AO12" i="3"/>
  <c r="AP12" i="3"/>
  <c r="AQ12" i="3"/>
  <c r="AR12" i="3"/>
  <c r="AS12" i="3"/>
  <c r="AU12" i="3"/>
  <c r="AV12" i="3"/>
  <c r="AW12" i="3"/>
  <c r="AX12" i="3"/>
  <c r="AM13" i="3"/>
  <c r="AN13" i="3"/>
  <c r="AO13" i="3"/>
  <c r="AP13" i="3"/>
  <c r="AQ13" i="3"/>
  <c r="AR13" i="3"/>
  <c r="AS13" i="3"/>
  <c r="AU13" i="3"/>
  <c r="AV13" i="3"/>
  <c r="AW13" i="3"/>
  <c r="AX13" i="3"/>
  <c r="AM14" i="3"/>
  <c r="AN14" i="3"/>
  <c r="AO14" i="3"/>
  <c r="AP14" i="3"/>
  <c r="AQ14" i="3"/>
  <c r="AR14" i="3"/>
  <c r="AS14" i="3"/>
  <c r="AT14" i="3"/>
  <c r="AU14" i="3"/>
  <c r="AV14" i="3"/>
  <c r="AW14" i="3"/>
  <c r="AX14" i="3"/>
  <c r="AM15" i="3"/>
  <c r="AN15" i="3"/>
  <c r="AO15" i="3"/>
  <c r="AP15" i="3"/>
  <c r="AQ15" i="3"/>
  <c r="AR15" i="3"/>
  <c r="AS15" i="3"/>
  <c r="AT15" i="3"/>
  <c r="AU15" i="3"/>
  <c r="AV15" i="3"/>
  <c r="AW15" i="3"/>
  <c r="AX15" i="3"/>
  <c r="AM16" i="3"/>
  <c r="AN16" i="3"/>
  <c r="AO16" i="3"/>
  <c r="AP16" i="3"/>
  <c r="AQ16" i="3"/>
  <c r="AR16" i="3"/>
  <c r="AS16" i="3"/>
  <c r="AT16" i="3"/>
  <c r="AU16" i="3"/>
  <c r="AV16" i="3"/>
  <c r="AW16" i="3"/>
  <c r="AX16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M18" i="3"/>
  <c r="AN18" i="3"/>
  <c r="AO18" i="3"/>
  <c r="AP18" i="3"/>
  <c r="AQ18" i="3"/>
  <c r="AR18" i="3"/>
  <c r="AS18" i="3"/>
  <c r="AT18" i="3"/>
  <c r="AU18" i="3"/>
  <c r="AV18" i="3"/>
  <c r="AW18" i="3"/>
  <c r="AX18" i="3"/>
  <c r="AM19" i="3"/>
  <c r="AN19" i="3"/>
  <c r="AO19" i="3"/>
  <c r="AP19" i="3"/>
  <c r="AQ19" i="3"/>
  <c r="AR19" i="3"/>
  <c r="AS19" i="3"/>
  <c r="AT19" i="3"/>
  <c r="AU19" i="3"/>
  <c r="AV19" i="3"/>
  <c r="AW19" i="3"/>
  <c r="AX19" i="3"/>
  <c r="AM20" i="3"/>
  <c r="AN20" i="3"/>
  <c r="AO20" i="3"/>
  <c r="AP20" i="3"/>
  <c r="AQ20" i="3"/>
  <c r="AR20" i="3"/>
  <c r="AS20" i="3"/>
  <c r="AT20" i="3"/>
  <c r="AU20" i="3"/>
  <c r="AV20" i="3"/>
  <c r="AW20" i="3"/>
  <c r="AX20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M23" i="3"/>
  <c r="AN23" i="3"/>
  <c r="AO23" i="3"/>
  <c r="AP23" i="3"/>
  <c r="AQ23" i="3"/>
  <c r="AR23" i="3"/>
  <c r="AS23" i="3"/>
  <c r="AT23" i="3"/>
  <c r="AU23" i="3"/>
  <c r="AV23" i="3"/>
  <c r="AW23" i="3"/>
  <c r="AX23" i="3"/>
  <c r="AM24" i="3"/>
  <c r="AN24" i="3"/>
  <c r="AO24" i="3"/>
  <c r="AP24" i="3"/>
  <c r="AQ24" i="3"/>
  <c r="AR24" i="3"/>
  <c r="AS24" i="3"/>
  <c r="AT24" i="3"/>
  <c r="AU24" i="3"/>
  <c r="AV24" i="3"/>
  <c r="AW24" i="3"/>
  <c r="AX24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S6" i="3"/>
  <c r="AO6" i="3"/>
  <c r="AP6" i="3"/>
  <c r="AN6" i="3"/>
  <c r="AM6" i="3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AH31" i="7"/>
  <c r="AG31" i="7"/>
  <c r="AG35" i="7" s="1"/>
  <c r="AF31" i="7"/>
  <c r="AF35" i="7" s="1"/>
  <c r="AE31" i="7"/>
  <c r="AE35" i="7" s="1"/>
  <c r="AD31" i="7"/>
  <c r="AD35" i="7" s="1"/>
  <c r="AC31" i="7"/>
  <c r="AC35" i="7" s="1"/>
  <c r="AB31" i="7"/>
  <c r="AB35" i="7" s="1"/>
  <c r="AA31" i="7"/>
  <c r="AA35" i="7" s="1"/>
  <c r="Z31" i="7"/>
  <c r="Z35" i="7" s="1"/>
  <c r="Y31" i="7"/>
  <c r="Y35" i="7" s="1"/>
  <c r="X31" i="7"/>
  <c r="X35" i="7" s="1"/>
  <c r="W31" i="7"/>
  <c r="W35" i="7" s="1"/>
  <c r="V31" i="7"/>
  <c r="V35" i="7" s="1"/>
  <c r="U31" i="7"/>
  <c r="U35" i="7" s="1"/>
  <c r="T31" i="7"/>
  <c r="T35" i="7" s="1"/>
  <c r="S31" i="7"/>
  <c r="S35" i="7" s="1"/>
  <c r="R31" i="7"/>
  <c r="R35" i="7" s="1"/>
  <c r="Q31" i="7"/>
  <c r="Q35" i="7" s="1"/>
  <c r="P31" i="7"/>
  <c r="P35" i="7" s="1"/>
  <c r="O31" i="7"/>
  <c r="O35" i="7" s="1"/>
  <c r="N31" i="7"/>
  <c r="N35" i="7" s="1"/>
  <c r="M31" i="7"/>
  <c r="M35" i="7" s="1"/>
  <c r="L31" i="7"/>
  <c r="L35" i="7" s="1"/>
  <c r="K31" i="7"/>
  <c r="K35" i="7" s="1"/>
  <c r="J31" i="7"/>
  <c r="J35" i="7" s="1"/>
  <c r="I31" i="7"/>
  <c r="I35" i="7" s="1"/>
  <c r="H31" i="7"/>
  <c r="H35" i="7" s="1"/>
  <c r="G31" i="7"/>
  <c r="G35" i="7" s="1"/>
  <c r="F31" i="7"/>
  <c r="F35" i="7" s="1"/>
  <c r="E31" i="7"/>
  <c r="E35" i="7" s="1"/>
  <c r="D31" i="7"/>
  <c r="D35" i="7" s="1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AJ28" i="7" a="1"/>
  <c r="AJ28" i="7" s="1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AQ26" i="7"/>
  <c r="AU25" i="7"/>
  <c r="AT25" i="7"/>
  <c r="AS25" i="7"/>
  <c r="AR25" i="7"/>
  <c r="AQ25" i="7"/>
  <c r="AP25" i="7"/>
  <c r="AL25" i="7"/>
  <c r="AK25" i="7"/>
  <c r="AU24" i="7"/>
  <c r="AT24" i="7"/>
  <c r="AS24" i="7"/>
  <c r="AR24" i="7"/>
  <c r="AQ24" i="7"/>
  <c r="AP24" i="7"/>
  <c r="AL24" i="7"/>
  <c r="AK24" i="7"/>
  <c r="AU23" i="7"/>
  <c r="AT23" i="7"/>
  <c r="AS23" i="7"/>
  <c r="AR23" i="7"/>
  <c r="AQ23" i="7"/>
  <c r="AP23" i="7"/>
  <c r="AL23" i="7"/>
  <c r="AK23" i="7"/>
  <c r="AU22" i="7"/>
  <c r="AT22" i="7"/>
  <c r="AS22" i="7"/>
  <c r="AR22" i="7"/>
  <c r="AQ22" i="7"/>
  <c r="AP22" i="7"/>
  <c r="AL22" i="7"/>
  <c r="AK22" i="7"/>
  <c r="AU21" i="7"/>
  <c r="AT21" i="7"/>
  <c r="AS21" i="7"/>
  <c r="AR21" i="7"/>
  <c r="AQ21" i="7"/>
  <c r="AP21" i="7"/>
  <c r="AL21" i="7"/>
  <c r="AK21" i="7"/>
  <c r="AU20" i="7"/>
  <c r="AT20" i="7"/>
  <c r="AS20" i="7"/>
  <c r="AR20" i="7"/>
  <c r="AQ20" i="7"/>
  <c r="AP20" i="7"/>
  <c r="AL20" i="7"/>
  <c r="AK20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U9" i="7"/>
  <c r="AT9" i="7"/>
  <c r="AS9" i="7"/>
  <c r="AR9" i="7"/>
  <c r="AQ9" i="7"/>
  <c r="AP9" i="7"/>
  <c r="AO9" i="7"/>
  <c r="AN9" i="7"/>
  <c r="AM9" i="7"/>
  <c r="AL9" i="7"/>
  <c r="AK9" i="7"/>
  <c r="AJ9" i="7"/>
  <c r="AU8" i="7"/>
  <c r="AT8" i="7"/>
  <c r="AS8" i="7"/>
  <c r="AR8" i="7"/>
  <c r="AQ8" i="7"/>
  <c r="AP8" i="7"/>
  <c r="AO8" i="7"/>
  <c r="AN8" i="7"/>
  <c r="AM8" i="7"/>
  <c r="AL8" i="7"/>
  <c r="AK8" i="7"/>
  <c r="AJ8" i="7"/>
  <c r="AU7" i="7"/>
  <c r="AT7" i="7"/>
  <c r="AS7" i="7"/>
  <c r="AR7" i="7"/>
  <c r="AQ7" i="7"/>
  <c r="AP7" i="7"/>
  <c r="AO7" i="7"/>
  <c r="AN7" i="7"/>
  <c r="AM7" i="7"/>
  <c r="AL7" i="7"/>
  <c r="AK7" i="7"/>
  <c r="AJ7" i="7"/>
  <c r="AU6" i="7"/>
  <c r="AT6" i="7"/>
  <c r="AS6" i="7"/>
  <c r="AR6" i="7"/>
  <c r="AQ6" i="7"/>
  <c r="AP6" i="7"/>
  <c r="AO6" i="7"/>
  <c r="AN6" i="7"/>
  <c r="AM6" i="7"/>
  <c r="AL6" i="7"/>
  <c r="AK6" i="7"/>
  <c r="AJ6" i="7"/>
  <c r="I2" i="7"/>
  <c r="AV30" i="8"/>
  <c r="AU30" i="8"/>
  <c r="AT30" i="8"/>
  <c r="AS30" i="8"/>
  <c r="AR30" i="8"/>
  <c r="AQ30" i="8"/>
  <c r="AP30" i="8"/>
  <c r="AO30" i="8"/>
  <c r="AN30" i="8"/>
  <c r="AM30" i="8"/>
  <c r="AL30" i="8"/>
  <c r="AK30" i="8"/>
  <c r="AW30" i="8" s="1"/>
  <c r="AV29" i="8"/>
  <c r="AU29" i="8"/>
  <c r="AT29" i="8"/>
  <c r="AS29" i="8"/>
  <c r="AR29" i="8"/>
  <c r="AQ29" i="8"/>
  <c r="AP29" i="8"/>
  <c r="AO29" i="8"/>
  <c r="AN29" i="8"/>
  <c r="AM29" i="8"/>
  <c r="AL29" i="8"/>
  <c r="AK29" i="8"/>
  <c r="AW29" i="8" s="1"/>
  <c r="AV28" i="8"/>
  <c r="AU28" i="8"/>
  <c r="AT28" i="8"/>
  <c r="AS28" i="8"/>
  <c r="AR28" i="8"/>
  <c r="AQ28" i="8"/>
  <c r="AP28" i="8"/>
  <c r="AO28" i="8"/>
  <c r="AN28" i="8"/>
  <c r="AM28" i="8"/>
  <c r="AL28" i="8"/>
  <c r="AK28" i="8"/>
  <c r="AW28" i="8" s="1"/>
  <c r="AV27" i="8"/>
  <c r="AU27" i="8"/>
  <c r="AT27" i="8"/>
  <c r="AS27" i="8"/>
  <c r="AR27" i="8"/>
  <c r="AQ27" i="8"/>
  <c r="AP27" i="8"/>
  <c r="AO27" i="8"/>
  <c r="AN27" i="8"/>
  <c r="AM27" i="8"/>
  <c r="AL27" i="8"/>
  <c r="AK27" i="8"/>
  <c r="AW27" i="8" s="1"/>
  <c r="AV26" i="8"/>
  <c r="AU26" i="8"/>
  <c r="AT26" i="8"/>
  <c r="AS26" i="8"/>
  <c r="AR26" i="8"/>
  <c r="AQ26" i="8"/>
  <c r="AP26" i="8"/>
  <c r="AO26" i="8"/>
  <c r="AN26" i="8"/>
  <c r="AM26" i="8"/>
  <c r="AL26" i="8"/>
  <c r="AK26" i="8"/>
  <c r="AW26" i="8" s="1"/>
  <c r="AV25" i="8"/>
  <c r="AU25" i="8"/>
  <c r="AT25" i="8"/>
  <c r="AS25" i="8"/>
  <c r="AR25" i="8"/>
  <c r="AQ25" i="8"/>
  <c r="AP25" i="8"/>
  <c r="AO25" i="8"/>
  <c r="AN25" i="8"/>
  <c r="AM25" i="8"/>
  <c r="AL25" i="8"/>
  <c r="AK25" i="8"/>
  <c r="AW25" i="8" s="1"/>
  <c r="AV24" i="8"/>
  <c r="AU24" i="8"/>
  <c r="AT24" i="8"/>
  <c r="AS24" i="8"/>
  <c r="AR24" i="8"/>
  <c r="AQ24" i="8"/>
  <c r="AP24" i="8"/>
  <c r="AO24" i="8"/>
  <c r="AN24" i="8"/>
  <c r="AM24" i="8"/>
  <c r="AL24" i="8"/>
  <c r="AK24" i="8"/>
  <c r="AW24" i="8" s="1"/>
  <c r="AV23" i="8"/>
  <c r="AU23" i="8"/>
  <c r="AT23" i="8"/>
  <c r="AS23" i="8"/>
  <c r="AR23" i="8"/>
  <c r="AQ23" i="8"/>
  <c r="AP23" i="8"/>
  <c r="AO23" i="8"/>
  <c r="AN23" i="8"/>
  <c r="AM23" i="8"/>
  <c r="AL23" i="8"/>
  <c r="AK23" i="8"/>
  <c r="AW23" i="8" s="1"/>
  <c r="AV22" i="8"/>
  <c r="AU22" i="8"/>
  <c r="AT22" i="8"/>
  <c r="AS22" i="8"/>
  <c r="AR22" i="8"/>
  <c r="AQ22" i="8"/>
  <c r="AP22" i="8"/>
  <c r="AO22" i="8"/>
  <c r="AN22" i="8"/>
  <c r="AM22" i="8"/>
  <c r="AL22" i="8"/>
  <c r="AK22" i="8"/>
  <c r="AW22" i="8" s="1"/>
  <c r="AV21" i="8"/>
  <c r="AU21" i="8"/>
  <c r="AT21" i="8"/>
  <c r="AS21" i="8"/>
  <c r="AR21" i="8"/>
  <c r="AQ21" i="8"/>
  <c r="AP21" i="8"/>
  <c r="AO21" i="8"/>
  <c r="AN21" i="8"/>
  <c r="AM21" i="8"/>
  <c r="AL21" i="8"/>
  <c r="AK21" i="8"/>
  <c r="AW21" i="8" s="1"/>
  <c r="AV20" i="8"/>
  <c r="AU20" i="8"/>
  <c r="AT20" i="8"/>
  <c r="AS20" i="8"/>
  <c r="AR20" i="8"/>
  <c r="AQ20" i="8"/>
  <c r="AP20" i="8"/>
  <c r="AO20" i="8"/>
  <c r="AN20" i="8"/>
  <c r="AM20" i="8"/>
  <c r="AL20" i="8"/>
  <c r="AK20" i="8"/>
  <c r="AW20" i="8" s="1"/>
  <c r="AV19" i="8"/>
  <c r="AU19" i="8"/>
  <c r="AT19" i="8"/>
  <c r="AS19" i="8"/>
  <c r="AR19" i="8"/>
  <c r="AQ19" i="8"/>
  <c r="AP19" i="8"/>
  <c r="AO19" i="8"/>
  <c r="AN19" i="8"/>
  <c r="AM19" i="8"/>
  <c r="AL19" i="8"/>
  <c r="AK19" i="8"/>
  <c r="AW19" i="8" s="1"/>
  <c r="AV18" i="8"/>
  <c r="AU18" i="8"/>
  <c r="AT18" i="8"/>
  <c r="AS18" i="8"/>
  <c r="AR18" i="8"/>
  <c r="AQ18" i="8"/>
  <c r="AP18" i="8"/>
  <c r="AO18" i="8"/>
  <c r="AN18" i="8"/>
  <c r="AM18" i="8"/>
  <c r="AL18" i="8"/>
  <c r="AK18" i="8"/>
  <c r="AW18" i="8" s="1"/>
  <c r="AV17" i="8"/>
  <c r="AU17" i="8"/>
  <c r="AT17" i="8"/>
  <c r="AS17" i="8"/>
  <c r="AR17" i="8"/>
  <c r="AQ17" i="8"/>
  <c r="AP17" i="8"/>
  <c r="AO17" i="8"/>
  <c r="AN17" i="8"/>
  <c r="AM17" i="8"/>
  <c r="AL17" i="8"/>
  <c r="AK17" i="8"/>
  <c r="AW17" i="8" s="1"/>
  <c r="AV16" i="8"/>
  <c r="AU16" i="8"/>
  <c r="AT16" i="8"/>
  <c r="AS16" i="8"/>
  <c r="AR16" i="8"/>
  <c r="AQ16" i="8"/>
  <c r="AP16" i="8"/>
  <c r="AO16" i="8"/>
  <c r="AN16" i="8"/>
  <c r="AM16" i="8"/>
  <c r="AL16" i="8"/>
  <c r="AK16" i="8"/>
  <c r="AW16" i="8" s="1"/>
  <c r="AV15" i="8"/>
  <c r="AU15" i="8"/>
  <c r="AT15" i="8"/>
  <c r="AS15" i="8"/>
  <c r="AR15" i="8"/>
  <c r="AQ15" i="8"/>
  <c r="AP15" i="8"/>
  <c r="AO15" i="8"/>
  <c r="AN15" i="8"/>
  <c r="AM15" i="8"/>
  <c r="AL15" i="8"/>
  <c r="AK15" i="8"/>
  <c r="AW15" i="8" s="1"/>
  <c r="AV14" i="8"/>
  <c r="AU14" i="8"/>
  <c r="AT14" i="8"/>
  <c r="AS14" i="8"/>
  <c r="AR14" i="8"/>
  <c r="AQ14" i="8"/>
  <c r="AP14" i="8"/>
  <c r="AO14" i="8"/>
  <c r="AN14" i="8"/>
  <c r="AM14" i="8"/>
  <c r="AL14" i="8"/>
  <c r="AK14" i="8"/>
  <c r="AW14" i="8" s="1"/>
  <c r="AV13" i="8"/>
  <c r="AU13" i="8"/>
  <c r="AT13" i="8"/>
  <c r="AS13" i="8"/>
  <c r="AR13" i="8"/>
  <c r="AQ13" i="8"/>
  <c r="AP13" i="8"/>
  <c r="AO13" i="8"/>
  <c r="AN13" i="8"/>
  <c r="AM13" i="8"/>
  <c r="AL13" i="8"/>
  <c r="AK13" i="8"/>
  <c r="AW13" i="8" s="1"/>
  <c r="AV12" i="8"/>
  <c r="AU12" i="8"/>
  <c r="AT12" i="8"/>
  <c r="AS12" i="8"/>
  <c r="AR12" i="8"/>
  <c r="AQ12" i="8"/>
  <c r="AP12" i="8"/>
  <c r="AO12" i="8"/>
  <c r="AN12" i="8"/>
  <c r="AM12" i="8"/>
  <c r="AL12" i="8"/>
  <c r="AK12" i="8"/>
  <c r="AW12" i="8" s="1"/>
  <c r="AV11" i="8"/>
  <c r="AU11" i="8"/>
  <c r="AT11" i="8"/>
  <c r="AS11" i="8"/>
  <c r="AR11" i="8"/>
  <c r="AQ11" i="8"/>
  <c r="AP11" i="8"/>
  <c r="AO11" i="8"/>
  <c r="AN11" i="8"/>
  <c r="AM11" i="8"/>
  <c r="AL11" i="8"/>
  <c r="AK11" i="8"/>
  <c r="AW11" i="8" s="1"/>
  <c r="AV10" i="8"/>
  <c r="AU10" i="8"/>
  <c r="AT10" i="8"/>
  <c r="AS10" i="8"/>
  <c r="AR10" i="8"/>
  <c r="AQ10" i="8"/>
  <c r="AP10" i="8"/>
  <c r="AO10" i="8"/>
  <c r="AN10" i="8"/>
  <c r="AM10" i="8"/>
  <c r="AL10" i="8"/>
  <c r="AK10" i="8"/>
  <c r="AV9" i="8"/>
  <c r="AU9" i="8"/>
  <c r="AT9" i="8"/>
  <c r="AS9" i="8"/>
  <c r="AR9" i="8"/>
  <c r="AQ9" i="8"/>
  <c r="AP9" i="8"/>
  <c r="AO9" i="8"/>
  <c r="AN9" i="8"/>
  <c r="AM9" i="8"/>
  <c r="AL9" i="8"/>
  <c r="AK9" i="8"/>
  <c r="AW9" i="8" s="1"/>
  <c r="AV8" i="8"/>
  <c r="AU8" i="8"/>
  <c r="AT8" i="8"/>
  <c r="AS8" i="8"/>
  <c r="AR8" i="8"/>
  <c r="AQ8" i="8"/>
  <c r="AP8" i="8"/>
  <c r="AO8" i="8"/>
  <c r="AN8" i="8"/>
  <c r="AM8" i="8"/>
  <c r="AL8" i="8"/>
  <c r="AK8" i="8"/>
  <c r="AV7" i="8"/>
  <c r="AU7" i="8"/>
  <c r="AT7" i="8"/>
  <c r="AS7" i="8"/>
  <c r="AR7" i="8"/>
  <c r="AQ7" i="8"/>
  <c r="AP7" i="8"/>
  <c r="AO7" i="8"/>
  <c r="AN7" i="8"/>
  <c r="AM7" i="8"/>
  <c r="AL7" i="8"/>
  <c r="AK7" i="8"/>
  <c r="AW7" i="8" s="1"/>
  <c r="AV6" i="8"/>
  <c r="AU6" i="8"/>
  <c r="AT6" i="8"/>
  <c r="AS6" i="8"/>
  <c r="AR6" i="8"/>
  <c r="AQ6" i="8"/>
  <c r="AP6" i="8"/>
  <c r="AO6" i="8"/>
  <c r="AN6" i="8"/>
  <c r="AM6" i="8"/>
  <c r="AL6" i="8"/>
  <c r="AK6" i="8"/>
  <c r="AW6" i="8" s="1"/>
  <c r="AV30" i="9"/>
  <c r="AU30" i="9"/>
  <c r="AT30" i="9"/>
  <c r="AS30" i="9"/>
  <c r="AR30" i="9"/>
  <c r="AQ30" i="9"/>
  <c r="AP30" i="9"/>
  <c r="AO30" i="9"/>
  <c r="AN30" i="9"/>
  <c r="AM30" i="9"/>
  <c r="AL30" i="9"/>
  <c r="AK30" i="9"/>
  <c r="AW30" i="9" s="1"/>
  <c r="AV29" i="9"/>
  <c r="AU29" i="9"/>
  <c r="AT29" i="9"/>
  <c r="AS29" i="9"/>
  <c r="AR29" i="9"/>
  <c r="AQ29" i="9"/>
  <c r="AP29" i="9"/>
  <c r="AO29" i="9"/>
  <c r="AN29" i="9"/>
  <c r="AM29" i="9"/>
  <c r="AL29" i="9"/>
  <c r="AK29" i="9"/>
  <c r="AW29" i="9" s="1"/>
  <c r="AV28" i="9"/>
  <c r="AU28" i="9"/>
  <c r="AT28" i="9"/>
  <c r="AS28" i="9"/>
  <c r="AR28" i="9"/>
  <c r="AQ28" i="9"/>
  <c r="AP28" i="9"/>
  <c r="AO28" i="9"/>
  <c r="AN28" i="9"/>
  <c r="AM28" i="9"/>
  <c r="AL28" i="9"/>
  <c r="AK28" i="9"/>
  <c r="AW28" i="9" s="1"/>
  <c r="AV27" i="9"/>
  <c r="AU27" i="9"/>
  <c r="AT27" i="9"/>
  <c r="AS27" i="9"/>
  <c r="AR27" i="9"/>
  <c r="AQ27" i="9"/>
  <c r="AP27" i="9"/>
  <c r="AO27" i="9"/>
  <c r="AN27" i="9"/>
  <c r="AM27" i="9"/>
  <c r="AL27" i="9"/>
  <c r="AK27" i="9"/>
  <c r="AW27" i="9" s="1"/>
  <c r="AV26" i="9"/>
  <c r="AU26" i="9"/>
  <c r="AT26" i="9"/>
  <c r="AS26" i="9"/>
  <c r="AR26" i="9"/>
  <c r="AQ26" i="9"/>
  <c r="AP26" i="9"/>
  <c r="AO26" i="9"/>
  <c r="AN26" i="9"/>
  <c r="AM26" i="9"/>
  <c r="AL26" i="9"/>
  <c r="AK26" i="9"/>
  <c r="AW26" i="9" s="1"/>
  <c r="AV25" i="9"/>
  <c r="AU25" i="9"/>
  <c r="AT25" i="9"/>
  <c r="AS25" i="9"/>
  <c r="AR25" i="9"/>
  <c r="AQ25" i="9"/>
  <c r="AP25" i="9"/>
  <c r="AO25" i="9"/>
  <c r="AN25" i="9"/>
  <c r="AM25" i="9"/>
  <c r="AL25" i="9"/>
  <c r="AK25" i="9"/>
  <c r="AW25" i="9" s="1"/>
  <c r="AV24" i="9"/>
  <c r="AU24" i="9"/>
  <c r="AT24" i="9"/>
  <c r="AS24" i="9"/>
  <c r="AR24" i="9"/>
  <c r="AQ24" i="9"/>
  <c r="AP24" i="9"/>
  <c r="AO24" i="9"/>
  <c r="AN24" i="9"/>
  <c r="AM24" i="9"/>
  <c r="AL24" i="9"/>
  <c r="AK24" i="9"/>
  <c r="AW24" i="9" s="1"/>
  <c r="AV23" i="9"/>
  <c r="AU23" i="9"/>
  <c r="AT23" i="9"/>
  <c r="AS23" i="9"/>
  <c r="AR23" i="9"/>
  <c r="AQ23" i="9"/>
  <c r="AP23" i="9"/>
  <c r="AO23" i="9"/>
  <c r="AN23" i="9"/>
  <c r="AM23" i="9"/>
  <c r="AL23" i="9"/>
  <c r="AK23" i="9"/>
  <c r="AW23" i="9" s="1"/>
  <c r="AV22" i="9"/>
  <c r="AU22" i="9"/>
  <c r="AT22" i="9"/>
  <c r="AS22" i="9"/>
  <c r="AR22" i="9"/>
  <c r="AQ22" i="9"/>
  <c r="AP22" i="9"/>
  <c r="AO22" i="9"/>
  <c r="AN22" i="9"/>
  <c r="AM22" i="9"/>
  <c r="AL22" i="9"/>
  <c r="AK22" i="9"/>
  <c r="AW22" i="9" s="1"/>
  <c r="AV21" i="9"/>
  <c r="AU21" i="9"/>
  <c r="AT21" i="9"/>
  <c r="AS21" i="9"/>
  <c r="AR21" i="9"/>
  <c r="AQ21" i="9"/>
  <c r="AP21" i="9"/>
  <c r="AO21" i="9"/>
  <c r="AN21" i="9"/>
  <c r="AM21" i="9"/>
  <c r="AL21" i="9"/>
  <c r="AK21" i="9"/>
  <c r="AW21" i="9" s="1"/>
  <c r="AV20" i="9"/>
  <c r="AU20" i="9"/>
  <c r="AT20" i="9"/>
  <c r="AS20" i="9"/>
  <c r="AR20" i="9"/>
  <c r="AQ20" i="9"/>
  <c r="AP20" i="9"/>
  <c r="AO20" i="9"/>
  <c r="AN20" i="9"/>
  <c r="AM20" i="9"/>
  <c r="AL20" i="9"/>
  <c r="AK20" i="9"/>
  <c r="AW20" i="9" s="1"/>
  <c r="AV19" i="9"/>
  <c r="AU19" i="9"/>
  <c r="AT19" i="9"/>
  <c r="AS19" i="9"/>
  <c r="AR19" i="9"/>
  <c r="AQ19" i="9"/>
  <c r="AP19" i="9"/>
  <c r="AO19" i="9"/>
  <c r="AN19" i="9"/>
  <c r="AM19" i="9"/>
  <c r="AL19" i="9"/>
  <c r="AK19" i="9"/>
  <c r="AW19" i="9" s="1"/>
  <c r="AV18" i="9"/>
  <c r="AU18" i="9"/>
  <c r="AT18" i="9"/>
  <c r="AS18" i="9"/>
  <c r="AR18" i="9"/>
  <c r="AQ18" i="9"/>
  <c r="AP18" i="9"/>
  <c r="AO18" i="9"/>
  <c r="AN18" i="9"/>
  <c r="AM18" i="9"/>
  <c r="AL18" i="9"/>
  <c r="AK18" i="9"/>
  <c r="AW18" i="9" s="1"/>
  <c r="AV17" i="9"/>
  <c r="AU17" i="9"/>
  <c r="AT17" i="9"/>
  <c r="AS17" i="9"/>
  <c r="AR17" i="9"/>
  <c r="AQ17" i="9"/>
  <c r="AP17" i="9"/>
  <c r="AO17" i="9"/>
  <c r="AN17" i="9"/>
  <c r="AM17" i="9"/>
  <c r="AL17" i="9"/>
  <c r="AK17" i="9"/>
  <c r="AW17" i="9" s="1"/>
  <c r="AV16" i="9"/>
  <c r="AU16" i="9"/>
  <c r="AT16" i="9"/>
  <c r="AS16" i="9"/>
  <c r="AR16" i="9"/>
  <c r="AQ16" i="9"/>
  <c r="AP16" i="9"/>
  <c r="AO16" i="9"/>
  <c r="AN16" i="9"/>
  <c r="AM16" i="9"/>
  <c r="AL16" i="9"/>
  <c r="AK16" i="9"/>
  <c r="AW16" i="9" s="1"/>
  <c r="AV15" i="9"/>
  <c r="AU15" i="9"/>
  <c r="AT15" i="9"/>
  <c r="AS15" i="9"/>
  <c r="AR15" i="9"/>
  <c r="AQ15" i="9"/>
  <c r="AP15" i="9"/>
  <c r="AO15" i="9"/>
  <c r="AN15" i="9"/>
  <c r="AM15" i="9"/>
  <c r="AL15" i="9"/>
  <c r="AK15" i="9"/>
  <c r="AW15" i="9" s="1"/>
  <c r="AV14" i="9"/>
  <c r="AU14" i="9"/>
  <c r="AT14" i="9"/>
  <c r="AS14" i="9"/>
  <c r="AR14" i="9"/>
  <c r="AQ14" i="9"/>
  <c r="AP14" i="9"/>
  <c r="AO14" i="9"/>
  <c r="AN14" i="9"/>
  <c r="AM14" i="9"/>
  <c r="AL14" i="9"/>
  <c r="AK14" i="9"/>
  <c r="AW14" i="9" s="1"/>
  <c r="AV13" i="9"/>
  <c r="AU13" i="9"/>
  <c r="AT13" i="9"/>
  <c r="AS13" i="9"/>
  <c r="AR13" i="9"/>
  <c r="AQ13" i="9"/>
  <c r="AP13" i="9"/>
  <c r="AO13" i="9"/>
  <c r="AN13" i="9"/>
  <c r="AM13" i="9"/>
  <c r="AL13" i="9"/>
  <c r="AK13" i="9"/>
  <c r="AW13" i="9" s="1"/>
  <c r="AV12" i="9"/>
  <c r="AU12" i="9"/>
  <c r="AT12" i="9"/>
  <c r="AS12" i="9"/>
  <c r="AR12" i="9"/>
  <c r="AQ12" i="9"/>
  <c r="AP12" i="9"/>
  <c r="AO12" i="9"/>
  <c r="AN12" i="9"/>
  <c r="AM12" i="9"/>
  <c r="AL12" i="9"/>
  <c r="AK12" i="9"/>
  <c r="AW12" i="9" s="1"/>
  <c r="AV11" i="9"/>
  <c r="AU11" i="9"/>
  <c r="AT11" i="9"/>
  <c r="AS11" i="9"/>
  <c r="AR11" i="9"/>
  <c r="AQ11" i="9"/>
  <c r="AP11" i="9"/>
  <c r="AO11" i="9"/>
  <c r="AN11" i="9"/>
  <c r="AM11" i="9"/>
  <c r="AL11" i="9"/>
  <c r="AK11" i="9"/>
  <c r="AW11" i="9" s="1"/>
  <c r="AV10" i="9"/>
  <c r="AU10" i="9"/>
  <c r="AT10" i="9"/>
  <c r="AS10" i="9"/>
  <c r="AR10" i="9"/>
  <c r="AQ10" i="9"/>
  <c r="AP10" i="9"/>
  <c r="AO10" i="9"/>
  <c r="AN10" i="9"/>
  <c r="AM10" i="9"/>
  <c r="AL10" i="9"/>
  <c r="AK10" i="9"/>
  <c r="AW10" i="9" s="1"/>
  <c r="AV9" i="9"/>
  <c r="AU9" i="9"/>
  <c r="AT9" i="9"/>
  <c r="AS9" i="9"/>
  <c r="AR9" i="9"/>
  <c r="AQ9" i="9"/>
  <c r="AP9" i="9"/>
  <c r="AO9" i="9"/>
  <c r="AN9" i="9"/>
  <c r="AM9" i="9"/>
  <c r="AL9" i="9"/>
  <c r="AK9" i="9"/>
  <c r="AW9" i="9" s="1"/>
  <c r="AV8" i="9"/>
  <c r="AU8" i="9"/>
  <c r="AT8" i="9"/>
  <c r="AS8" i="9"/>
  <c r="AR8" i="9"/>
  <c r="AQ8" i="9"/>
  <c r="AP8" i="9"/>
  <c r="AO8" i="9"/>
  <c r="AN8" i="9"/>
  <c r="AM8" i="9"/>
  <c r="AL8" i="9"/>
  <c r="AK8" i="9"/>
  <c r="AW8" i="9" s="1"/>
  <c r="AV7" i="9"/>
  <c r="AU7" i="9"/>
  <c r="AT7" i="9"/>
  <c r="AS7" i="9"/>
  <c r="AR7" i="9"/>
  <c r="AQ7" i="9"/>
  <c r="AP7" i="9"/>
  <c r="AO7" i="9"/>
  <c r="AN7" i="9"/>
  <c r="AM7" i="9"/>
  <c r="AL7" i="9"/>
  <c r="AK7" i="9"/>
  <c r="AW7" i="9" s="1"/>
  <c r="AV6" i="9"/>
  <c r="AU6" i="9"/>
  <c r="AT6" i="9"/>
  <c r="AS6" i="9"/>
  <c r="AR6" i="9"/>
  <c r="AQ6" i="9"/>
  <c r="AP6" i="9"/>
  <c r="AO6" i="9"/>
  <c r="AN6" i="9"/>
  <c r="AM6" i="9"/>
  <c r="AL6" i="9"/>
  <c r="AK6" i="9"/>
  <c r="AW6" i="9" s="1"/>
  <c r="AI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S51" i="8"/>
  <c r="R51" i="8"/>
  <c r="Q51" i="8"/>
  <c r="P51" i="8"/>
  <c r="O51" i="8"/>
  <c r="N51" i="8"/>
  <c r="M51" i="8"/>
  <c r="L51" i="8"/>
  <c r="K51" i="8"/>
  <c r="J51" i="8"/>
  <c r="I51" i="8"/>
  <c r="H51" i="8"/>
  <c r="G51" i="8"/>
  <c r="F51" i="8"/>
  <c r="E51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AI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AI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U34" i="8"/>
  <c r="T34" i="8"/>
  <c r="S34" i="8"/>
  <c r="R34" i="8"/>
  <c r="Q34" i="8"/>
  <c r="P34" i="8"/>
  <c r="O34" i="8"/>
  <c r="N34" i="8"/>
  <c r="M34" i="8"/>
  <c r="L34" i="8"/>
  <c r="K34" i="8"/>
  <c r="J34" i="8"/>
  <c r="I34" i="8"/>
  <c r="H34" i="8"/>
  <c r="G34" i="8"/>
  <c r="F34" i="8"/>
  <c r="E34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AT26" i="3"/>
  <c r="AV6" i="3"/>
  <c r="AU6" i="3"/>
  <c r="H43" i="3"/>
  <c r="I43" i="3"/>
  <c r="J43" i="3"/>
  <c r="K43" i="3"/>
  <c r="L43" i="3"/>
  <c r="M43" i="3"/>
  <c r="N43" i="3"/>
  <c r="O43" i="3"/>
  <c r="P43" i="3"/>
  <c r="Q43" i="3"/>
  <c r="R43" i="3"/>
  <c r="S43" i="3"/>
  <c r="T43" i="3"/>
  <c r="U43" i="3"/>
  <c r="V43" i="3"/>
  <c r="W43" i="3"/>
  <c r="X43" i="3"/>
  <c r="Y43" i="3"/>
  <c r="Z43" i="3"/>
  <c r="AA43" i="3"/>
  <c r="AB43" i="3"/>
  <c r="AC43" i="3"/>
  <c r="AD43" i="3"/>
  <c r="AE43" i="3"/>
  <c r="AF43" i="3"/>
  <c r="AG43" i="3"/>
  <c r="AH43" i="3"/>
  <c r="AI43" i="3"/>
  <c r="AJ43" i="3"/>
  <c r="AK43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H46" i="3"/>
  <c r="I46" i="3"/>
  <c r="J46" i="3"/>
  <c r="K46" i="3"/>
  <c r="L46" i="3"/>
  <c r="M46" i="3"/>
  <c r="N46" i="3"/>
  <c r="O46" i="3"/>
  <c r="P46" i="3"/>
  <c r="Q46" i="3"/>
  <c r="R46" i="3"/>
  <c r="S46" i="3"/>
  <c r="T46" i="3"/>
  <c r="U46" i="3"/>
  <c r="V46" i="3"/>
  <c r="W46" i="3"/>
  <c r="X46" i="3"/>
  <c r="Y46" i="3"/>
  <c r="Z46" i="3"/>
  <c r="AA46" i="3"/>
  <c r="AB46" i="3"/>
  <c r="AC46" i="3"/>
  <c r="AD46" i="3"/>
  <c r="AE46" i="3"/>
  <c r="AF46" i="3"/>
  <c r="AG46" i="3"/>
  <c r="AH46" i="3"/>
  <c r="AI46" i="3"/>
  <c r="AJ46" i="3"/>
  <c r="AK46" i="3"/>
  <c r="G46" i="3"/>
  <c r="G44" i="3"/>
  <c r="G43" i="3"/>
  <c r="H34" i="3"/>
  <c r="I34" i="3"/>
  <c r="J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G32" i="3"/>
  <c r="G31" i="3"/>
  <c r="F32" i="9"/>
  <c r="F38" i="9" s="1"/>
  <c r="G32" i="9"/>
  <c r="G38" i="9" s="1"/>
  <c r="H32" i="9"/>
  <c r="H38" i="9" s="1"/>
  <c r="I32" i="9"/>
  <c r="J32" i="9"/>
  <c r="K32" i="9"/>
  <c r="K38" i="9" s="1"/>
  <c r="L32" i="9"/>
  <c r="L38" i="9" s="1"/>
  <c r="M32" i="9"/>
  <c r="N32" i="9"/>
  <c r="N38" i="9" s="1"/>
  <c r="O32" i="9"/>
  <c r="O38" i="9" s="1"/>
  <c r="P32" i="9"/>
  <c r="P38" i="9" s="1"/>
  <c r="Q32" i="9"/>
  <c r="R32" i="9"/>
  <c r="S32" i="9"/>
  <c r="T32" i="9"/>
  <c r="U32" i="9"/>
  <c r="V32" i="9"/>
  <c r="V38" i="9" s="1"/>
  <c r="W32" i="9"/>
  <c r="W38" i="9" s="1"/>
  <c r="X32" i="9"/>
  <c r="X38" i="9" s="1"/>
  <c r="Y32" i="9"/>
  <c r="Z32" i="9"/>
  <c r="AA32" i="9"/>
  <c r="AA38" i="9" s="1"/>
  <c r="AB32" i="9"/>
  <c r="AC32" i="9"/>
  <c r="AD32" i="9"/>
  <c r="AE32" i="9"/>
  <c r="AF32" i="9"/>
  <c r="F33" i="9"/>
  <c r="G33" i="9"/>
  <c r="H33" i="9"/>
  <c r="I33" i="9"/>
  <c r="J33" i="9"/>
  <c r="K33" i="9"/>
  <c r="L33" i="9"/>
  <c r="M33" i="9"/>
  <c r="N33" i="9"/>
  <c r="O33" i="9"/>
  <c r="P33" i="9"/>
  <c r="Q33" i="9"/>
  <c r="R33" i="9"/>
  <c r="S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F34" i="9"/>
  <c r="G34" i="9"/>
  <c r="H34" i="9"/>
  <c r="I34" i="9"/>
  <c r="J34" i="9"/>
  <c r="K34" i="9"/>
  <c r="L34" i="9"/>
  <c r="M34" i="9"/>
  <c r="N34" i="9"/>
  <c r="O34" i="9"/>
  <c r="P34" i="9"/>
  <c r="Q34" i="9"/>
  <c r="R34" i="9"/>
  <c r="S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F35" i="9"/>
  <c r="G35" i="9"/>
  <c r="H35" i="9"/>
  <c r="I35" i="9"/>
  <c r="J35" i="9"/>
  <c r="K35" i="9"/>
  <c r="L35" i="9"/>
  <c r="M35" i="9"/>
  <c r="N35" i="9"/>
  <c r="O35" i="9"/>
  <c r="P35" i="9"/>
  <c r="Q35" i="9"/>
  <c r="R35" i="9"/>
  <c r="S35" i="9"/>
  <c r="T35" i="9"/>
  <c r="U35" i="9"/>
  <c r="V35" i="9"/>
  <c r="W35" i="9"/>
  <c r="X35" i="9"/>
  <c r="Y35" i="9"/>
  <c r="Z35" i="9"/>
  <c r="AA35" i="9"/>
  <c r="AB35" i="9"/>
  <c r="AC35" i="9"/>
  <c r="AD35" i="9"/>
  <c r="AE35" i="9"/>
  <c r="AF35" i="9"/>
  <c r="F36" i="9"/>
  <c r="G36" i="9"/>
  <c r="H36" i="9"/>
  <c r="I36" i="9"/>
  <c r="J36" i="9"/>
  <c r="K36" i="9"/>
  <c r="L36" i="9"/>
  <c r="M36" i="9"/>
  <c r="N36" i="9"/>
  <c r="O36" i="9"/>
  <c r="P36" i="9"/>
  <c r="Q36" i="9"/>
  <c r="R36" i="9"/>
  <c r="S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F37" i="9"/>
  <c r="G37" i="9"/>
  <c r="H37" i="9"/>
  <c r="I37" i="9"/>
  <c r="I38" i="9" s="1"/>
  <c r="J37" i="9"/>
  <c r="J38" i="9" s="1"/>
  <c r="K37" i="9"/>
  <c r="L37" i="9"/>
  <c r="M37" i="9"/>
  <c r="N37" i="9"/>
  <c r="O37" i="9"/>
  <c r="P37" i="9"/>
  <c r="Q37" i="9"/>
  <c r="R37" i="9"/>
  <c r="S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F39" i="9"/>
  <c r="G39" i="9"/>
  <c r="H39" i="9"/>
  <c r="I39" i="9"/>
  <c r="J39" i="9"/>
  <c r="K39" i="9"/>
  <c r="L39" i="9"/>
  <c r="M39" i="9"/>
  <c r="N39" i="9"/>
  <c r="O39" i="9"/>
  <c r="P39" i="9"/>
  <c r="Q39" i="9"/>
  <c r="R39" i="9"/>
  <c r="S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E39" i="9"/>
  <c r="E37" i="9"/>
  <c r="E36" i="9"/>
  <c r="E35" i="9"/>
  <c r="E34" i="9"/>
  <c r="E33" i="9"/>
  <c r="E32" i="9"/>
  <c r="E38" i="9" s="1"/>
  <c r="G34" i="3"/>
  <c r="BA3" i="3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J46" i="9"/>
  <c r="I46" i="9"/>
  <c r="H46" i="9"/>
  <c r="G46" i="9"/>
  <c r="F46" i="9"/>
  <c r="E46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J44" i="9"/>
  <c r="I44" i="9"/>
  <c r="H44" i="9"/>
  <c r="G44" i="9"/>
  <c r="F44" i="9"/>
  <c r="E44" i="9"/>
  <c r="AI43" i="9"/>
  <c r="AI52" i="9" s="1"/>
  <c r="AH43" i="9"/>
  <c r="AH52" i="9" s="1"/>
  <c r="AG43" i="9"/>
  <c r="AG52" i="9" s="1"/>
  <c r="AF43" i="9"/>
  <c r="AF52" i="9" s="1"/>
  <c r="AE43" i="9"/>
  <c r="AE52" i="9" s="1"/>
  <c r="AD43" i="9"/>
  <c r="AD52" i="9" s="1"/>
  <c r="AC43" i="9"/>
  <c r="AC52" i="9" s="1"/>
  <c r="AB43" i="9"/>
  <c r="AB52" i="9" s="1"/>
  <c r="AA43" i="9"/>
  <c r="AA52" i="9" s="1"/>
  <c r="Z43" i="9"/>
  <c r="Z52" i="9" s="1"/>
  <c r="Y43" i="9"/>
  <c r="Y52" i="9" s="1"/>
  <c r="X43" i="9"/>
  <c r="X52" i="9" s="1"/>
  <c r="W43" i="9"/>
  <c r="W52" i="9" s="1"/>
  <c r="V43" i="9"/>
  <c r="V52" i="9" s="1"/>
  <c r="U43" i="9"/>
  <c r="U52" i="9" s="1"/>
  <c r="T43" i="9"/>
  <c r="T52" i="9" s="1"/>
  <c r="S43" i="9"/>
  <c r="S52" i="9" s="1"/>
  <c r="R43" i="9"/>
  <c r="R52" i="9" s="1"/>
  <c r="Q43" i="9"/>
  <c r="Q52" i="9" s="1"/>
  <c r="P43" i="9"/>
  <c r="P52" i="9" s="1"/>
  <c r="O43" i="9"/>
  <c r="O52" i="9" s="1"/>
  <c r="N43" i="9"/>
  <c r="N52" i="9" s="1"/>
  <c r="M43" i="9"/>
  <c r="M52" i="9" s="1"/>
  <c r="L43" i="9"/>
  <c r="L52" i="9" s="1"/>
  <c r="K43" i="9"/>
  <c r="K52" i="9" s="1"/>
  <c r="J43" i="9"/>
  <c r="J52" i="9" s="1"/>
  <c r="I43" i="9"/>
  <c r="I52" i="9" s="1"/>
  <c r="H43" i="9"/>
  <c r="H52" i="9" s="1"/>
  <c r="G43" i="9"/>
  <c r="G52" i="9" s="1"/>
  <c r="F43" i="9"/>
  <c r="F52" i="9" s="1"/>
  <c r="E43" i="9"/>
  <c r="E52" i="9" s="1"/>
  <c r="AI39" i="9"/>
  <c r="AH39" i="9"/>
  <c r="AG39" i="9"/>
  <c r="AI37" i="9"/>
  <c r="AH37" i="9"/>
  <c r="AG37" i="9"/>
  <c r="AI36" i="9"/>
  <c r="AH36" i="9"/>
  <c r="AG36" i="9"/>
  <c r="AI35" i="9"/>
  <c r="AH35" i="9"/>
  <c r="AG35" i="9"/>
  <c r="AI34" i="9"/>
  <c r="AH34" i="9"/>
  <c r="AG34" i="9"/>
  <c r="AI33" i="9"/>
  <c r="AH33" i="9"/>
  <c r="AG33" i="9"/>
  <c r="AI32" i="9"/>
  <c r="AI38" i="9" s="1"/>
  <c r="AH32" i="9"/>
  <c r="AG32" i="9"/>
  <c r="AM28" i="3" a="1"/>
  <c r="AM28" i="3" s="1"/>
  <c r="F4" i="3"/>
  <c r="E2" i="8"/>
  <c r="AY3" i="8" s="1"/>
  <c r="E2" i="9"/>
  <c r="AY3" i="9" s="1"/>
  <c r="BH6" i="3" l="1"/>
  <c r="BE18" i="3"/>
  <c r="AK35" i="3"/>
  <c r="Y35" i="3"/>
  <c r="U35" i="3"/>
  <c r="AB35" i="3"/>
  <c r="AY13" i="3"/>
  <c r="AF35" i="3"/>
  <c r="AE35" i="3"/>
  <c r="X35" i="3"/>
  <c r="H35" i="3"/>
  <c r="G35" i="3"/>
  <c r="AI35" i="3"/>
  <c r="W35" i="3"/>
  <c r="AG35" i="3"/>
  <c r="AJ35" i="3"/>
  <c r="AC35" i="3"/>
  <c r="Z35" i="3"/>
  <c r="V35" i="3"/>
  <c r="AD35" i="3"/>
  <c r="AH35" i="3"/>
  <c r="AA35" i="3"/>
  <c r="T35" i="3"/>
  <c r="S35" i="3"/>
  <c r="I35" i="3"/>
  <c r="J35" i="3"/>
  <c r="M35" i="3"/>
  <c r="Q35" i="3"/>
  <c r="K35" i="3"/>
  <c r="L35" i="3"/>
  <c r="O35" i="3"/>
  <c r="N35" i="3"/>
  <c r="R35" i="3"/>
  <c r="P35" i="3"/>
  <c r="BH18" i="3"/>
  <c r="BH19" i="3" s="1"/>
  <c r="D4" i="7"/>
  <c r="AX3" i="7"/>
  <c r="AX9" i="7" s="1"/>
  <c r="F23" i="11"/>
  <c r="I13" i="11"/>
  <c r="I23" i="11" s="1"/>
  <c r="AW8" i="8"/>
  <c r="AW10" i="8"/>
  <c r="AI38" i="8"/>
  <c r="AH38" i="8"/>
  <c r="AG38" i="8"/>
  <c r="AF38" i="8"/>
  <c r="AE38" i="8"/>
  <c r="AD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Q38" i="9"/>
  <c r="R38" i="9"/>
  <c r="S38" i="9"/>
  <c r="Y38" i="9"/>
  <c r="Z38" i="9"/>
  <c r="AD38" i="9"/>
  <c r="AE38" i="9"/>
  <c r="AF38" i="9"/>
  <c r="AI40" i="9"/>
  <c r="AV18" i="7"/>
  <c r="AV16" i="7"/>
  <c r="J33" i="7"/>
  <c r="I33" i="7"/>
  <c r="H33" i="7"/>
  <c r="G33" i="7"/>
  <c r="F33" i="7"/>
  <c r="D33" i="7"/>
  <c r="AX16" i="7"/>
  <c r="AV15" i="7"/>
  <c r="AX17" i="7"/>
  <c r="AX18" i="7"/>
  <c r="AX15" i="7"/>
  <c r="AV25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AV20" i="7"/>
  <c r="AX20" i="7" s="1"/>
  <c r="AV12" i="7"/>
  <c r="AX12" i="7" s="1"/>
  <c r="AR26" i="7"/>
  <c r="AO26" i="7"/>
  <c r="AV8" i="7"/>
  <c r="AV6" i="7"/>
  <c r="AH35" i="7"/>
  <c r="AV24" i="7"/>
  <c r="E33" i="7"/>
  <c r="AV13" i="7"/>
  <c r="AX13" i="7" s="1"/>
  <c r="AM26" i="7"/>
  <c r="AL26" i="7"/>
  <c r="AK26" i="7"/>
  <c r="AS26" i="7"/>
  <c r="AP26" i="7"/>
  <c r="AV17" i="7"/>
  <c r="AV23" i="7"/>
  <c r="AX23" i="7" s="1"/>
  <c r="AV11" i="7"/>
  <c r="AX11" i="7" s="1"/>
  <c r="AV22" i="7"/>
  <c r="AX22" i="7" s="1"/>
  <c r="AV21" i="7"/>
  <c r="AX21" i="7" s="1"/>
  <c r="AV19" i="7"/>
  <c r="AX19" i="7" s="1"/>
  <c r="AV14" i="7"/>
  <c r="AX14" i="7" s="1"/>
  <c r="AT26" i="7"/>
  <c r="AV7" i="7"/>
  <c r="AH45" i="7"/>
  <c r="AH47" i="7"/>
  <c r="AG45" i="7"/>
  <c r="AG47" i="7"/>
  <c r="AF45" i="7"/>
  <c r="AF47" i="7"/>
  <c r="AE47" i="7"/>
  <c r="AE45" i="7"/>
  <c r="AD45" i="7"/>
  <c r="AD47" i="7"/>
  <c r="AC47" i="7"/>
  <c r="AC45" i="7"/>
  <c r="AB47" i="7"/>
  <c r="AB45" i="7"/>
  <c r="AA47" i="7"/>
  <c r="AA45" i="7"/>
  <c r="Z47" i="7"/>
  <c r="Z45" i="7"/>
  <c r="Y47" i="7"/>
  <c r="Y45" i="7"/>
  <c r="X47" i="7"/>
  <c r="X45" i="7"/>
  <c r="W47" i="7"/>
  <c r="W45" i="7"/>
  <c r="V45" i="7"/>
  <c r="V47" i="7"/>
  <c r="U45" i="7"/>
  <c r="U47" i="7"/>
  <c r="T45" i="7"/>
  <c r="T47" i="7"/>
  <c r="S45" i="7"/>
  <c r="S47" i="7"/>
  <c r="R45" i="7"/>
  <c r="R47" i="7"/>
  <c r="Q45" i="7"/>
  <c r="Q47" i="7"/>
  <c r="P47" i="7"/>
  <c r="P45" i="7"/>
  <c r="O45" i="7"/>
  <c r="O47" i="7"/>
  <c r="N45" i="7"/>
  <c r="N47" i="7"/>
  <c r="M45" i="7"/>
  <c r="M47" i="7"/>
  <c r="L47" i="7"/>
  <c r="L45" i="7"/>
  <c r="K45" i="7"/>
  <c r="K47" i="7"/>
  <c r="J45" i="7"/>
  <c r="J47" i="7"/>
  <c r="I45" i="7"/>
  <c r="I47" i="7"/>
  <c r="H45" i="7"/>
  <c r="H47" i="7"/>
  <c r="G45" i="7"/>
  <c r="G47" i="7"/>
  <c r="F45" i="7"/>
  <c r="F47" i="7"/>
  <c r="E45" i="7"/>
  <c r="E47" i="7"/>
  <c r="D45" i="7"/>
  <c r="D47" i="7"/>
  <c r="AJ26" i="7"/>
  <c r="AV10" i="7"/>
  <c r="AX10" i="7" s="1"/>
  <c r="AU26" i="7"/>
  <c r="AN26" i="7"/>
  <c r="AV9" i="7"/>
  <c r="D5" i="7"/>
  <c r="E4" i="7"/>
  <c r="AX8" i="7"/>
  <c r="AX7" i="7"/>
  <c r="AX6" i="7"/>
  <c r="Q47" i="3"/>
  <c r="R47" i="3"/>
  <c r="U47" i="3"/>
  <c r="W47" i="3"/>
  <c r="Y47" i="3"/>
  <c r="AA47" i="3"/>
  <c r="AC47" i="3"/>
  <c r="AG47" i="3"/>
  <c r="AK47" i="3"/>
  <c r="L47" i="3"/>
  <c r="M47" i="3"/>
  <c r="S47" i="3"/>
  <c r="V47" i="3"/>
  <c r="AE47" i="3"/>
  <c r="AJ47" i="3"/>
  <c r="G47" i="3"/>
  <c r="H47" i="3"/>
  <c r="K47" i="3"/>
  <c r="T47" i="3"/>
  <c r="AD47" i="3"/>
  <c r="AH47" i="3"/>
  <c r="I47" i="3"/>
  <c r="J47" i="3"/>
  <c r="N47" i="3"/>
  <c r="O47" i="3"/>
  <c r="P47" i="3"/>
  <c r="X47" i="3"/>
  <c r="Z47" i="3"/>
  <c r="AB47" i="3"/>
  <c r="AF47" i="3"/>
  <c r="AI47" i="3"/>
  <c r="AY19" i="3"/>
  <c r="BA19" i="3" s="1"/>
  <c r="AN26" i="3"/>
  <c r="AO26" i="3"/>
  <c r="AY27" i="9"/>
  <c r="AY26" i="9"/>
  <c r="AY25" i="9"/>
  <c r="AY24" i="9"/>
  <c r="AY23" i="9"/>
  <c r="AY22" i="9"/>
  <c r="AY21" i="9"/>
  <c r="AY20" i="9"/>
  <c r="AY19" i="9"/>
  <c r="AY18" i="9"/>
  <c r="AY17" i="9"/>
  <c r="AY16" i="9"/>
  <c r="AY15" i="9"/>
  <c r="AY13" i="9"/>
  <c r="AY12" i="9"/>
  <c r="AY11" i="9"/>
  <c r="AY9" i="9"/>
  <c r="AY8" i="9"/>
  <c r="AY30" i="9"/>
  <c r="AY29" i="9"/>
  <c r="AY28" i="9"/>
  <c r="AY10" i="9"/>
  <c r="AY14" i="9"/>
  <c r="AY6" i="9"/>
  <c r="AY21" i="8"/>
  <c r="AY24" i="8"/>
  <c r="AY14" i="8"/>
  <c r="AY26" i="8"/>
  <c r="AY8" i="8"/>
  <c r="AY23" i="8"/>
  <c r="AY22" i="8"/>
  <c r="AY16" i="8"/>
  <c r="AY6" i="8"/>
  <c r="AY15" i="8"/>
  <c r="AY9" i="8"/>
  <c r="AY12" i="8"/>
  <c r="AY25" i="8"/>
  <c r="AY11" i="8"/>
  <c r="AY13" i="8"/>
  <c r="AY29" i="8"/>
  <c r="AY18" i="8"/>
  <c r="AY20" i="8"/>
  <c r="AY19" i="8"/>
  <c r="AY27" i="8"/>
  <c r="AY17" i="8"/>
  <c r="AY28" i="8"/>
  <c r="AY10" i="8"/>
  <c r="AY30" i="8"/>
  <c r="AH40" i="8"/>
  <c r="U40" i="8"/>
  <c r="J40" i="8"/>
  <c r="H40" i="8"/>
  <c r="AC38" i="8"/>
  <c r="AI40" i="8"/>
  <c r="AG40" i="8"/>
  <c r="AF40" i="8"/>
  <c r="AB40" i="8"/>
  <c r="X40" i="8"/>
  <c r="V40" i="8"/>
  <c r="T40" i="8"/>
  <c r="M40" i="8"/>
  <c r="L40" i="8"/>
  <c r="Q40" i="8"/>
  <c r="P40" i="8"/>
  <c r="O40" i="8"/>
  <c r="AC40" i="8"/>
  <c r="Z40" i="8"/>
  <c r="W40" i="8"/>
  <c r="N40" i="8"/>
  <c r="K40" i="8"/>
  <c r="AD40" i="8"/>
  <c r="Y40" i="8"/>
  <c r="S40" i="8"/>
  <c r="G40" i="8"/>
  <c r="E40" i="8"/>
  <c r="I40" i="8"/>
  <c r="F40" i="8"/>
  <c r="AE40" i="8"/>
  <c r="AA40" i="8"/>
  <c r="R40" i="8"/>
  <c r="U38" i="9"/>
  <c r="AB38" i="9"/>
  <c r="M38" i="9"/>
  <c r="AC38" i="9"/>
  <c r="T38" i="9"/>
  <c r="AI50" i="8"/>
  <c r="AI52" i="8"/>
  <c r="AH52" i="8"/>
  <c r="AH50" i="8"/>
  <c r="AG52" i="8"/>
  <c r="AG50" i="8"/>
  <c r="AF52" i="8"/>
  <c r="AF50" i="8"/>
  <c r="AE52" i="8"/>
  <c r="AE50" i="8"/>
  <c r="AD52" i="8"/>
  <c r="AD50" i="8"/>
  <c r="AC52" i="8"/>
  <c r="AC50" i="8"/>
  <c r="AB52" i="8"/>
  <c r="AB50" i="8"/>
  <c r="AA52" i="8"/>
  <c r="AA50" i="8"/>
  <c r="Z50" i="8"/>
  <c r="Z52" i="8"/>
  <c r="Y50" i="8"/>
  <c r="Y52" i="8"/>
  <c r="X50" i="8"/>
  <c r="X52" i="8"/>
  <c r="W50" i="8"/>
  <c r="W52" i="8"/>
  <c r="V50" i="8"/>
  <c r="V52" i="8"/>
  <c r="U50" i="8"/>
  <c r="U52" i="8"/>
  <c r="T50" i="8"/>
  <c r="T52" i="8"/>
  <c r="S50" i="8"/>
  <c r="S52" i="8"/>
  <c r="R52" i="8"/>
  <c r="R50" i="8"/>
  <c r="Q52" i="8"/>
  <c r="Q50" i="8"/>
  <c r="P50" i="8"/>
  <c r="P52" i="8"/>
  <c r="O52" i="8"/>
  <c r="O50" i="8"/>
  <c r="N50" i="8"/>
  <c r="N52" i="8"/>
  <c r="M50" i="8"/>
  <c r="M52" i="8"/>
  <c r="L50" i="8"/>
  <c r="L52" i="8"/>
  <c r="K50" i="8"/>
  <c r="K52" i="8"/>
  <c r="J50" i="8"/>
  <c r="J52" i="8"/>
  <c r="I50" i="8"/>
  <c r="I52" i="8"/>
  <c r="H50" i="8"/>
  <c r="H52" i="8"/>
  <c r="G50" i="8"/>
  <c r="G52" i="8"/>
  <c r="F52" i="8"/>
  <c r="F50" i="8"/>
  <c r="E50" i="8"/>
  <c r="E52" i="8"/>
  <c r="AY11" i="3"/>
  <c r="BA11" i="3" s="1"/>
  <c r="Z45" i="3"/>
  <c r="Y45" i="3"/>
  <c r="X45" i="3"/>
  <c r="V45" i="3"/>
  <c r="J45" i="3"/>
  <c r="AI45" i="3"/>
  <c r="AK45" i="3"/>
  <c r="W45" i="3"/>
  <c r="AK33" i="3"/>
  <c r="AJ45" i="3"/>
  <c r="AI33" i="3"/>
  <c r="AH45" i="3"/>
  <c r="U45" i="3"/>
  <c r="H33" i="3"/>
  <c r="AC45" i="3"/>
  <c r="AE45" i="3"/>
  <c r="AD45" i="3"/>
  <c r="AG45" i="3"/>
  <c r="T45" i="3"/>
  <c r="S33" i="3"/>
  <c r="N45" i="3"/>
  <c r="AA45" i="3"/>
  <c r="AF45" i="3"/>
  <c r="R45" i="3"/>
  <c r="S45" i="3"/>
  <c r="G45" i="3"/>
  <c r="H45" i="3"/>
  <c r="K45" i="3"/>
  <c r="I45" i="3"/>
  <c r="AB45" i="3"/>
  <c r="Q45" i="3"/>
  <c r="M45" i="3"/>
  <c r="Q33" i="3"/>
  <c r="O45" i="3"/>
  <c r="O33" i="3"/>
  <c r="P45" i="3"/>
  <c r="L45" i="3"/>
  <c r="AV26" i="3"/>
  <c r="U33" i="3"/>
  <c r="Z33" i="3"/>
  <c r="R33" i="3"/>
  <c r="V33" i="3"/>
  <c r="AJ33" i="3"/>
  <c r="AH33" i="3"/>
  <c r="AE33" i="3"/>
  <c r="AA33" i="3"/>
  <c r="T33" i="3"/>
  <c r="W33" i="3"/>
  <c r="AB33" i="3"/>
  <c r="X33" i="3"/>
  <c r="G33" i="3"/>
  <c r="J33" i="3"/>
  <c r="AC33" i="3"/>
  <c r="Y33" i="3"/>
  <c r="N33" i="3"/>
  <c r="M33" i="3"/>
  <c r="K33" i="3"/>
  <c r="L33" i="3"/>
  <c r="P33" i="3"/>
  <c r="I33" i="3"/>
  <c r="AG33" i="3"/>
  <c r="AD33" i="3"/>
  <c r="AF33" i="3"/>
  <c r="BA16" i="3"/>
  <c r="AH38" i="9"/>
  <c r="AG38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E4" i="8"/>
  <c r="J2" i="8"/>
  <c r="E4" i="9"/>
  <c r="J2" i="9"/>
  <c r="F5" i="3"/>
  <c r="E4" i="3"/>
  <c r="AS26" i="3"/>
  <c r="F4" i="7" l="1"/>
  <c r="E5" i="7"/>
  <c r="AV26" i="7"/>
  <c r="E5" i="9"/>
  <c r="F4" i="9"/>
  <c r="E5" i="8"/>
  <c r="F4" i="8"/>
  <c r="D4" i="3"/>
  <c r="D5" i="3" s="1"/>
  <c r="E5" i="3"/>
  <c r="G4" i="7" l="1"/>
  <c r="F5" i="7"/>
  <c r="G4" i="9"/>
  <c r="F5" i="9"/>
  <c r="G4" i="8"/>
  <c r="F5" i="8"/>
  <c r="H4" i="7" l="1"/>
  <c r="G5" i="7"/>
  <c r="H4" i="9"/>
  <c r="G5" i="9"/>
  <c r="H4" i="8"/>
  <c r="G5" i="8"/>
  <c r="I4" i="7" l="1"/>
  <c r="H5" i="7"/>
  <c r="I4" i="9"/>
  <c r="H5" i="9"/>
  <c r="I4" i="8"/>
  <c r="H5" i="8"/>
  <c r="G4" i="3"/>
  <c r="L2" i="3"/>
  <c r="J4" i="7" l="1"/>
  <c r="I5" i="7"/>
  <c r="J4" i="9"/>
  <c r="I5" i="9"/>
  <c r="I5" i="8"/>
  <c r="J4" i="8"/>
  <c r="G5" i="3"/>
  <c r="H4" i="3"/>
  <c r="BA15" i="3"/>
  <c r="J5" i="9" l="1"/>
  <c r="K4" i="9"/>
  <c r="K4" i="7"/>
  <c r="J5" i="7"/>
  <c r="AY15" i="3"/>
  <c r="J5" i="8"/>
  <c r="K4" i="8"/>
  <c r="H5" i="3"/>
  <c r="I4" i="3"/>
  <c r="L4" i="9" l="1"/>
  <c r="K5" i="9"/>
  <c r="L4" i="7"/>
  <c r="K5" i="7"/>
  <c r="L4" i="8"/>
  <c r="K5" i="8"/>
  <c r="L5" i="9"/>
  <c r="M4" i="9"/>
  <c r="J4" i="3"/>
  <c r="I5" i="3"/>
  <c r="AY22" i="3"/>
  <c r="AY21" i="3"/>
  <c r="AY20" i="3"/>
  <c r="AY23" i="3"/>
  <c r="AY24" i="3"/>
  <c r="AY25" i="3"/>
  <c r="BA7" i="3"/>
  <c r="BA8" i="3"/>
  <c r="BA9" i="3"/>
  <c r="BA18" i="3"/>
  <c r="BA17" i="3"/>
  <c r="AX6" i="3"/>
  <c r="BA6" i="3" s="1"/>
  <c r="AR6" i="3"/>
  <c r="AQ6" i="3"/>
  <c r="AW6" i="3"/>
  <c r="M5" i="9" l="1"/>
  <c r="N4" i="9"/>
  <c r="M4" i="8"/>
  <c r="L5" i="8"/>
  <c r="M4" i="7"/>
  <c r="L5" i="7"/>
  <c r="AY8" i="3"/>
  <c r="AY18" i="3"/>
  <c r="AY17" i="3"/>
  <c r="AY7" i="3"/>
  <c r="AY9" i="3"/>
  <c r="AY10" i="3"/>
  <c r="BA10" i="3" s="1"/>
  <c r="AY16" i="3"/>
  <c r="AY6" i="3"/>
  <c r="AM26" i="3"/>
  <c r="AY12" i="3"/>
  <c r="BA12" i="3" s="1"/>
  <c r="AY14" i="3"/>
  <c r="BA14" i="3" s="1"/>
  <c r="BA13" i="3"/>
  <c r="AU26" i="3"/>
  <c r="AX26" i="3"/>
  <c r="AR26" i="3"/>
  <c r="AQ26" i="3"/>
  <c r="AP26" i="3"/>
  <c r="AW26" i="3"/>
  <c r="K4" i="3"/>
  <c r="J5" i="3"/>
  <c r="BA20" i="3"/>
  <c r="BA21" i="3"/>
  <c r="BA22" i="3"/>
  <c r="BA23" i="3"/>
  <c r="N4" i="8" l="1"/>
  <c r="M5" i="8"/>
  <c r="AR27" i="3"/>
  <c r="O4" i="9"/>
  <c r="O5" i="9" s="1"/>
  <c r="N5" i="9"/>
  <c r="N4" i="7"/>
  <c r="M5" i="7"/>
  <c r="AY26" i="3"/>
  <c r="P4" i="9"/>
  <c r="O4" i="8"/>
  <c r="N5" i="8"/>
  <c r="L4" i="3"/>
  <c r="K5" i="3"/>
  <c r="O4" i="7" l="1"/>
  <c r="N5" i="7"/>
  <c r="Q4" i="9"/>
  <c r="P5" i="9"/>
  <c r="P4" i="8"/>
  <c r="O5" i="8"/>
  <c r="M4" i="3"/>
  <c r="L5" i="3"/>
  <c r="P4" i="7" l="1"/>
  <c r="O5" i="7"/>
  <c r="R4" i="9"/>
  <c r="Q5" i="9"/>
  <c r="Q4" i="8"/>
  <c r="P5" i="8"/>
  <c r="N4" i="3"/>
  <c r="M5" i="3"/>
  <c r="Q4" i="7" l="1"/>
  <c r="P5" i="7"/>
  <c r="S4" i="9"/>
  <c r="R5" i="9"/>
  <c r="R4" i="8"/>
  <c r="Q5" i="8"/>
  <c r="O4" i="3"/>
  <c r="N5" i="3"/>
  <c r="R4" i="7" l="1"/>
  <c r="Q5" i="7"/>
  <c r="T4" i="9"/>
  <c r="S5" i="9"/>
  <c r="S4" i="8"/>
  <c r="R5" i="8"/>
  <c r="P4" i="3"/>
  <c r="O5" i="3"/>
  <c r="S4" i="7" l="1"/>
  <c r="R5" i="7"/>
  <c r="U4" i="9"/>
  <c r="T5" i="9"/>
  <c r="T4" i="8"/>
  <c r="S5" i="8"/>
  <c r="Q4" i="3"/>
  <c r="P5" i="3"/>
  <c r="T4" i="7" l="1"/>
  <c r="S5" i="7"/>
  <c r="V4" i="9"/>
  <c r="U5" i="9"/>
  <c r="U4" i="8"/>
  <c r="T5" i="8"/>
  <c r="R4" i="3"/>
  <c r="Q5" i="3"/>
  <c r="U4" i="7" l="1"/>
  <c r="T5" i="7"/>
  <c r="W4" i="9"/>
  <c r="V5" i="9"/>
  <c r="V4" i="8"/>
  <c r="U5" i="8"/>
  <c r="S4" i="3"/>
  <c r="R5" i="3"/>
  <c r="V4" i="7" l="1"/>
  <c r="U5" i="7"/>
  <c r="X4" i="9"/>
  <c r="W5" i="9"/>
  <c r="W4" i="8"/>
  <c r="V5" i="8"/>
  <c r="T4" i="3"/>
  <c r="S5" i="3"/>
  <c r="W4" i="7" l="1"/>
  <c r="V5" i="7"/>
  <c r="Y4" i="9"/>
  <c r="X5" i="9"/>
  <c r="X4" i="8"/>
  <c r="W5" i="8"/>
  <c r="U4" i="3"/>
  <c r="T5" i="3"/>
  <c r="X4" i="7" l="1"/>
  <c r="W5" i="7"/>
  <c r="Z4" i="9"/>
  <c r="Y5" i="9"/>
  <c r="Y4" i="8"/>
  <c r="X5" i="8"/>
  <c r="V4" i="3"/>
  <c r="U5" i="3"/>
  <c r="Y4" i="7" l="1"/>
  <c r="X5" i="7"/>
  <c r="AA4" i="9"/>
  <c r="Z5" i="9"/>
  <c r="Z4" i="8"/>
  <c r="Y5" i="8"/>
  <c r="W4" i="3"/>
  <c r="V5" i="3"/>
  <c r="Z4" i="7" l="1"/>
  <c r="Y5" i="7"/>
  <c r="AB4" i="9"/>
  <c r="AA5" i="9"/>
  <c r="AA4" i="8"/>
  <c r="Z5" i="8"/>
  <c r="X4" i="3"/>
  <c r="W5" i="3"/>
  <c r="AA4" i="7" l="1"/>
  <c r="Z5" i="7"/>
  <c r="AC4" i="9"/>
  <c r="AB5" i="9"/>
  <c r="AB4" i="8"/>
  <c r="AA5" i="8"/>
  <c r="Y4" i="3"/>
  <c r="X5" i="3"/>
  <c r="AB4" i="7" l="1"/>
  <c r="AA5" i="7"/>
  <c r="AD4" i="9"/>
  <c r="AC5" i="9"/>
  <c r="AC4" i="8"/>
  <c r="AB5" i="8"/>
  <c r="Z4" i="3"/>
  <c r="Y5" i="3"/>
  <c r="AC4" i="7" l="1"/>
  <c r="AB5" i="7"/>
  <c r="AE4" i="9"/>
  <c r="AD5" i="9"/>
  <c r="AD4" i="8"/>
  <c r="AC5" i="8"/>
  <c r="AA4" i="3"/>
  <c r="Z5" i="3"/>
  <c r="AD4" i="7" l="1"/>
  <c r="AC5" i="7"/>
  <c r="AF4" i="9"/>
  <c r="AE5" i="9"/>
  <c r="AE4" i="8"/>
  <c r="AD5" i="8"/>
  <c r="AB4" i="3"/>
  <c r="AA5" i="3"/>
  <c r="AE4" i="7" l="1"/>
  <c r="AD5" i="7"/>
  <c r="AG4" i="9"/>
  <c r="AF5" i="9"/>
  <c r="AF4" i="8"/>
  <c r="AE5" i="8"/>
  <c r="AC4" i="3"/>
  <c r="AB5" i="3"/>
  <c r="AF4" i="7" l="1"/>
  <c r="AE5" i="7"/>
  <c r="AH4" i="9"/>
  <c r="AG5" i="9"/>
  <c r="AG4" i="8"/>
  <c r="AF5" i="8"/>
  <c r="AD4" i="3"/>
  <c r="AC5" i="3"/>
  <c r="AG4" i="7" l="1"/>
  <c r="AF5" i="7"/>
  <c r="AI4" i="9"/>
  <c r="AI5" i="9" s="1"/>
  <c r="AH5" i="9"/>
  <c r="AH4" i="8"/>
  <c r="AG5" i="8"/>
  <c r="AE4" i="3"/>
  <c r="AD5" i="3"/>
  <c r="AH4" i="7" l="1"/>
  <c r="AH5" i="7" s="1"/>
  <c r="AG5" i="7"/>
  <c r="AI4" i="8"/>
  <c r="AI5" i="8" s="1"/>
  <c r="AH5" i="8"/>
  <c r="AF4" i="3"/>
  <c r="AE5" i="3"/>
  <c r="AG4" i="3" l="1"/>
  <c r="AF5" i="3"/>
  <c r="AH4" i="3" l="1"/>
  <c r="AI4" i="3" s="1"/>
  <c r="AJ4" i="3" s="1"/>
  <c r="AK4" i="3" s="1"/>
  <c r="AG5" i="3"/>
  <c r="AK5" i="3" l="1"/>
  <c r="AH5" i="3"/>
  <c r="AI5" i="3" l="1"/>
  <c r="AJ5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afcjapan</author>
  </authors>
  <commentList>
    <comment ref="G2" authorId="0" shapeId="0" xr:uid="{28DA5F33-59E0-434F-AAEE-56A6278C778C}">
      <text>
        <r>
          <rPr>
            <b/>
            <sz val="10"/>
            <color rgb="FF000000"/>
            <rFont val="Yu Gothic UI"/>
          </rPr>
          <t>日付を入力して下さい。</t>
        </r>
      </text>
    </comment>
    <comment ref="B4" authorId="0" shapeId="0" xr:uid="{042C94BA-BEA7-3A4E-BC41-C59ED736BD59}">
      <text>
        <r>
          <rPr>
            <b/>
            <sz val="10"/>
            <color rgb="FF000000"/>
            <rFont val="Yu Gothic UI"/>
            <family val="3"/>
            <charset val="128"/>
          </rPr>
          <t>土日は</t>
        </r>
        <r>
          <rPr>
            <b/>
            <sz val="10"/>
            <color rgb="FF000000"/>
            <rFont val="Yu Gothic UI"/>
            <family val="3"/>
            <charset val="128"/>
          </rPr>
          <t>A</t>
        </r>
        <r>
          <rPr>
            <b/>
            <sz val="10"/>
            <color rgb="FF000000"/>
            <rFont val="Yu Gothic UI"/>
            <family val="3"/>
            <charset val="128"/>
          </rPr>
          <t>勤なしでも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OK
</t>
        </r>
        <r>
          <rPr>
            <b/>
            <sz val="10"/>
            <color rgb="FF000000"/>
            <rFont val="Yu Gothic UI"/>
            <family val="3"/>
            <charset val="128"/>
          </rPr>
          <t>BD</t>
        </r>
        <r>
          <rPr>
            <b/>
            <sz val="10"/>
            <color rgb="FF000000"/>
            <rFont val="Yu Gothic UI"/>
            <family val="3"/>
            <charset val="128"/>
          </rPr>
          <t>あり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afcjapan</author>
  </authors>
  <commentList>
    <comment ref="E2" authorId="0" shapeId="0" xr:uid="{16DDBADE-2BE2-FC42-B0EF-C9AB6A8779F8}">
      <text>
        <r>
          <rPr>
            <b/>
            <sz val="10"/>
            <color rgb="FF000000"/>
            <rFont val="Yu Gothic UI"/>
            <family val="3"/>
            <charset val="128"/>
          </rPr>
          <t>日付を入力して下さい。</t>
        </r>
      </text>
    </comment>
    <comment ref="B4" authorId="0" shapeId="0" xr:uid="{9F02D288-1E09-4C49-9ED5-6C619431CA84}">
      <text>
        <r>
          <rPr>
            <b/>
            <sz val="10"/>
            <color rgb="FF000000"/>
            <rFont val="Yu Gothic UI"/>
            <family val="3"/>
            <charset val="128"/>
          </rPr>
          <t>土日は</t>
        </r>
        <r>
          <rPr>
            <b/>
            <sz val="10"/>
            <color rgb="FF000000"/>
            <rFont val="Yu Gothic UI"/>
            <family val="3"/>
            <charset val="128"/>
          </rPr>
          <t>A</t>
        </r>
        <r>
          <rPr>
            <b/>
            <sz val="10"/>
            <color rgb="FF000000"/>
            <rFont val="Yu Gothic UI"/>
            <family val="3"/>
            <charset val="128"/>
          </rPr>
          <t>勤なしでも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OK
</t>
        </r>
        <r>
          <rPr>
            <b/>
            <sz val="10"/>
            <color rgb="FF000000"/>
            <rFont val="Yu Gothic UI"/>
            <family val="3"/>
            <charset val="128"/>
          </rPr>
          <t>BD</t>
        </r>
        <r>
          <rPr>
            <b/>
            <sz val="10"/>
            <color rgb="FF000000"/>
            <rFont val="Yu Gothic UI"/>
            <family val="3"/>
            <charset val="128"/>
          </rPr>
          <t>あり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D10" authorId="0" shapeId="0" xr:uid="{90DF5380-A7E8-0948-BFBC-9D359B0C186A}">
      <text>
        <r>
          <rPr>
            <b/>
            <sz val="10"/>
            <color rgb="FF000000"/>
            <rFont val="Yu Gothic UI"/>
            <family val="3"/>
            <charset val="128"/>
          </rPr>
          <t>A</t>
        </r>
        <r>
          <rPr>
            <b/>
            <sz val="10"/>
            <color rgb="FF000000"/>
            <rFont val="Yu Gothic UI"/>
            <family val="3"/>
            <charset val="128"/>
          </rPr>
          <t>勤</t>
        </r>
        <r>
          <rPr>
            <b/>
            <sz val="10"/>
            <color rgb="FF000000"/>
            <rFont val="Yu Gothic UI"/>
            <family val="3"/>
            <charset val="128"/>
          </rPr>
          <t>C</t>
        </r>
        <r>
          <rPr>
            <b/>
            <sz val="10"/>
            <color rgb="FF000000"/>
            <rFont val="Yu Gothic UI"/>
            <family val="3"/>
            <charset val="128"/>
          </rPr>
          <t>勤不可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夜勤は基本日曜日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場合によっては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月曜日も可</t>
        </r>
      </text>
    </comment>
    <comment ref="D11" authorId="0" shapeId="0" xr:uid="{17E02273-C064-3944-BE50-5FA21ACFF2FF}">
      <text>
        <r>
          <rPr>
            <b/>
            <sz val="10"/>
            <color rgb="FF000000"/>
            <rFont val="Yu Gothic UI"/>
            <family val="3"/>
            <charset val="128"/>
          </rPr>
          <t>A</t>
        </r>
        <r>
          <rPr>
            <b/>
            <sz val="10"/>
            <color rgb="FF000000"/>
            <rFont val="Yu Gothic UI"/>
            <family val="3"/>
            <charset val="128"/>
          </rPr>
          <t>勤</t>
        </r>
        <r>
          <rPr>
            <b/>
            <sz val="10"/>
            <color rgb="FF000000"/>
            <rFont val="Yu Gothic UI"/>
            <family val="3"/>
            <charset val="128"/>
          </rPr>
          <t>C</t>
        </r>
        <r>
          <rPr>
            <b/>
            <sz val="10"/>
            <color rgb="FF000000"/>
            <rFont val="Yu Gothic UI"/>
            <family val="3"/>
            <charset val="128"/>
          </rPr>
          <t>勤不可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夜勤は基本日曜日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場合によっては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月曜日も可</t>
        </r>
      </text>
    </comment>
    <comment ref="D12" authorId="0" shapeId="0" xr:uid="{2BBA26BA-B9B7-CF4D-99F4-141691BCBE10}">
      <text>
        <r>
          <rPr>
            <b/>
            <sz val="10"/>
            <color rgb="FF000000"/>
            <rFont val="Yu Gothic UI"/>
            <family val="3"/>
            <charset val="128"/>
          </rPr>
          <t>基本夜勤</t>
        </r>
        <r>
          <rPr>
            <b/>
            <sz val="10"/>
            <color rgb="FF000000"/>
            <rFont val="Yu Gothic UI"/>
            <family val="3"/>
            <charset val="128"/>
          </rPr>
          <t>7</t>
        </r>
        <r>
          <rPr>
            <b/>
            <sz val="10"/>
            <color rgb="FF000000"/>
            <rFont val="Yu Gothic UI"/>
            <family val="3"/>
            <charset val="128"/>
          </rPr>
          <t>勤</t>
        </r>
      </text>
    </comment>
    <comment ref="D13" authorId="0" shapeId="0" xr:uid="{896BB051-77C4-4E42-AAC7-A5CE93381C1B}">
      <text>
        <r>
          <rPr>
            <b/>
            <sz val="10"/>
            <color rgb="FF000000"/>
            <rFont val="Yu Gothic UI"/>
          </rPr>
          <t>基本最大</t>
        </r>
        <r>
          <rPr>
            <b/>
            <sz val="10"/>
            <color rgb="FF000000"/>
            <rFont val="Yu Gothic UI"/>
          </rPr>
          <t>15</t>
        </r>
        <r>
          <rPr>
            <b/>
            <sz val="10"/>
            <color rgb="FF000000"/>
            <rFont val="Yu Gothic UI"/>
          </rPr>
          <t>勤</t>
        </r>
      </text>
    </comment>
    <comment ref="D14" authorId="0" shapeId="0" xr:uid="{12073844-1FB8-934D-8676-A9E100C4490E}">
      <text>
        <r>
          <rPr>
            <b/>
            <sz val="10"/>
            <color rgb="FF000000"/>
            <rFont val="Yu Gothic UI"/>
            <family val="3"/>
            <charset val="128"/>
          </rPr>
          <t>A</t>
        </r>
        <r>
          <rPr>
            <sz val="10"/>
            <color rgb="FF000000"/>
            <rFont val="Yu Gothic UI"/>
            <family val="3"/>
            <charset val="128"/>
          </rPr>
          <t>はなるべく水曜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B,D</t>
        </r>
        <r>
          <rPr>
            <sz val="10"/>
            <color rgb="FF000000"/>
            <rFont val="Yu Gothic UI"/>
            <family val="3"/>
            <charset val="128"/>
          </rPr>
          <t>は不可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D15" authorId="0" shapeId="0" xr:uid="{D52A9A07-F65A-EE44-A6B7-2A5B2B640230}">
      <text>
        <r>
          <rPr>
            <b/>
            <sz val="10"/>
            <color rgb="FF000000"/>
            <rFont val="Yu Gothic UI"/>
          </rPr>
          <t>B,D</t>
        </r>
        <r>
          <rPr>
            <b/>
            <sz val="10"/>
            <color rgb="FF000000"/>
            <rFont val="Yu Gothic UI"/>
          </rPr>
          <t>は不可</t>
        </r>
      </text>
    </comment>
    <comment ref="D16" authorId="0" shapeId="0" xr:uid="{67EE8DEE-60BF-E94E-8443-28DEB31C3D26}">
      <text>
        <r>
          <rPr>
            <b/>
            <sz val="10"/>
            <color rgb="FF000000"/>
            <rFont val="Yu Gothic UI"/>
            <family val="3"/>
            <charset val="128"/>
          </rPr>
          <t>A,B,D</t>
        </r>
        <r>
          <rPr>
            <b/>
            <sz val="10"/>
            <color rgb="FF000000"/>
            <rFont val="Yu Gothic UI"/>
            <family val="3"/>
            <charset val="128"/>
          </rPr>
          <t>は不可</t>
        </r>
      </text>
    </comment>
    <comment ref="D22" authorId="0" shapeId="0" xr:uid="{AD746FD0-93F8-1549-8965-58FD545F20E2}">
      <text>
        <r>
          <rPr>
            <b/>
            <sz val="10"/>
            <color rgb="FF000000"/>
            <rFont val="Yu Gothic UI"/>
            <family val="3"/>
            <charset val="128"/>
          </rPr>
          <t>6</t>
        </r>
        <r>
          <rPr>
            <b/>
            <sz val="10"/>
            <color rgb="FF000000"/>
            <rFont val="Yu Gothic UI"/>
            <family val="3"/>
            <charset val="128"/>
          </rPr>
          <t>時間×</t>
        </r>
        <r>
          <rPr>
            <b/>
            <sz val="10"/>
            <color rgb="FF000000"/>
            <rFont val="Yu Gothic UI"/>
            <family val="3"/>
            <charset val="128"/>
          </rPr>
          <t>13</t>
        </r>
        <r>
          <rPr>
            <b/>
            <sz val="10"/>
            <color rgb="FF000000"/>
            <rFont val="Yu Gothic UI"/>
            <family val="3"/>
            <charset val="128"/>
          </rPr>
          <t>＋</t>
        </r>
        <r>
          <rPr>
            <b/>
            <sz val="10"/>
            <color rgb="FF000000"/>
            <rFont val="Yu Gothic UI"/>
            <family val="3"/>
            <charset val="128"/>
          </rPr>
          <t>5</t>
        </r>
        <r>
          <rPr>
            <b/>
            <sz val="10"/>
            <color rgb="FF000000"/>
            <rFont val="Yu Gothic UI"/>
            <family val="3"/>
            <charset val="128"/>
          </rPr>
          <t>時間×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1
</t>
        </r>
      </text>
    </comment>
    <comment ref="D27" authorId="0" shapeId="0" xr:uid="{8E34CCFC-5A9C-0C45-91B1-33B610CB1E88}">
      <text>
        <r>
          <rPr>
            <b/>
            <sz val="10"/>
            <color rgb="FF000000"/>
            <rFont val="Yu Gothic UI"/>
          </rPr>
          <t>A</t>
        </r>
        <r>
          <rPr>
            <b/>
            <sz val="10"/>
            <color rgb="FF000000"/>
            <rFont val="Yu Gothic UI"/>
          </rPr>
          <t>勤</t>
        </r>
        <r>
          <rPr>
            <b/>
            <sz val="10"/>
            <color rgb="FF000000"/>
            <rFont val="Yu Gothic UI"/>
          </rPr>
          <t>C</t>
        </r>
        <r>
          <rPr>
            <b/>
            <sz val="10"/>
            <color rgb="FF000000"/>
            <rFont val="Yu Gothic UI"/>
          </rPr>
          <t>勤不可</t>
        </r>
        <r>
          <rPr>
            <b/>
            <sz val="10"/>
            <color rgb="FF000000"/>
            <rFont val="Yu Gothic UI"/>
          </rPr>
          <t xml:space="preserve">
</t>
        </r>
        <r>
          <rPr>
            <b/>
            <sz val="10"/>
            <color rgb="FF000000"/>
            <rFont val="Yu Gothic UI"/>
          </rPr>
          <t>夜勤は基本日曜日</t>
        </r>
        <r>
          <rPr>
            <b/>
            <sz val="10"/>
            <color rgb="FF000000"/>
            <rFont val="Yu Gothic UI"/>
          </rPr>
          <t xml:space="preserve">
</t>
        </r>
        <r>
          <rPr>
            <b/>
            <sz val="10"/>
            <color rgb="FF000000"/>
            <rFont val="Yu Gothic UI"/>
          </rPr>
          <t>場合によっては</t>
        </r>
        <r>
          <rPr>
            <b/>
            <sz val="10"/>
            <color rgb="FF000000"/>
            <rFont val="Yu Gothic UI"/>
          </rPr>
          <t xml:space="preserve">
</t>
        </r>
        <r>
          <rPr>
            <b/>
            <sz val="10"/>
            <color rgb="FF000000"/>
            <rFont val="Yu Gothic UI"/>
          </rPr>
          <t>月曜日も可</t>
        </r>
      </text>
    </comment>
    <comment ref="D28" authorId="0" shapeId="0" xr:uid="{6BE9E3F0-D112-C043-B395-DBA0EF0DCD33}">
      <text>
        <r>
          <rPr>
            <b/>
            <sz val="10"/>
            <color rgb="FF000000"/>
            <rFont val="Yu Gothic UI"/>
            <family val="3"/>
            <charset val="128"/>
          </rPr>
          <t>A</t>
        </r>
        <r>
          <rPr>
            <sz val="10"/>
            <color rgb="FF000000"/>
            <rFont val="Yu Gothic UI"/>
            <family val="3"/>
            <charset val="128"/>
          </rPr>
          <t>はなるべく水曜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  <r>
          <rPr>
            <sz val="10"/>
            <color rgb="FF000000"/>
            <rFont val="Yu Gothic UI"/>
            <family val="3"/>
            <charset val="128"/>
          </rPr>
          <t>B,D</t>
        </r>
        <r>
          <rPr>
            <sz val="10"/>
            <color rgb="FF000000"/>
            <rFont val="Yu Gothic UI"/>
            <family val="3"/>
            <charset val="128"/>
          </rPr>
          <t>は不可</t>
        </r>
        <r>
          <rPr>
            <sz val="10"/>
            <color rgb="FF000000"/>
            <rFont val="Yu Gothic UI"/>
            <family val="3"/>
            <charset val="128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afcjapan</author>
  </authors>
  <commentList>
    <comment ref="D2" authorId="0" shapeId="0" xr:uid="{25E1158C-9CBE-E847-BB81-F1515087EA12}">
      <text>
        <r>
          <rPr>
            <b/>
            <sz val="10"/>
            <color rgb="FF000000"/>
            <rFont val="Yu Gothic UI"/>
          </rPr>
          <t>日付を入力して下さい。</t>
        </r>
      </text>
    </comment>
    <comment ref="B4" authorId="0" shapeId="0" xr:uid="{44871852-F677-6849-AE0D-B9E31FEF5B31}">
      <text>
        <r>
          <rPr>
            <b/>
            <sz val="10"/>
            <color rgb="FF000000"/>
            <rFont val="Yu Gothic UI"/>
            <family val="3"/>
            <charset val="128"/>
          </rPr>
          <t>土日は</t>
        </r>
        <r>
          <rPr>
            <b/>
            <sz val="10"/>
            <color rgb="FF000000"/>
            <rFont val="Yu Gothic UI"/>
            <family val="3"/>
            <charset val="128"/>
          </rPr>
          <t>A</t>
        </r>
        <r>
          <rPr>
            <b/>
            <sz val="10"/>
            <color rgb="FF000000"/>
            <rFont val="Yu Gothic UI"/>
            <family val="3"/>
            <charset val="128"/>
          </rPr>
          <t>勤なしでも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OK
</t>
        </r>
        <r>
          <rPr>
            <b/>
            <sz val="10"/>
            <color rgb="FF000000"/>
            <rFont val="Yu Gothic UI"/>
            <family val="3"/>
            <charset val="128"/>
          </rPr>
          <t>BD</t>
        </r>
        <r>
          <rPr>
            <b/>
            <sz val="10"/>
            <color rgb="FF000000"/>
            <rFont val="Yu Gothic UI"/>
            <family val="3"/>
            <charset val="128"/>
          </rPr>
          <t>あり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C9" authorId="0" shapeId="0" xr:uid="{7971D540-6D0E-9148-A3AF-F0B4DE5E18D1}">
      <text>
        <r>
          <rPr>
            <b/>
            <sz val="10"/>
            <color rgb="FF000000"/>
            <rFont val="Yu Gothic UI"/>
          </rPr>
          <t>A</t>
        </r>
        <r>
          <rPr>
            <b/>
            <sz val="10"/>
            <color rgb="FF000000"/>
            <rFont val="Yu Gothic UI"/>
          </rPr>
          <t>勤</t>
        </r>
        <r>
          <rPr>
            <b/>
            <sz val="10"/>
            <color rgb="FF000000"/>
            <rFont val="Yu Gothic UI"/>
          </rPr>
          <t>C</t>
        </r>
        <r>
          <rPr>
            <b/>
            <sz val="10"/>
            <color rgb="FF000000"/>
            <rFont val="Yu Gothic UI"/>
          </rPr>
          <t>勤不可</t>
        </r>
        <r>
          <rPr>
            <b/>
            <sz val="10"/>
            <color rgb="FF000000"/>
            <rFont val="Yu Gothic UI"/>
          </rPr>
          <t xml:space="preserve">
</t>
        </r>
        <r>
          <rPr>
            <b/>
            <sz val="10"/>
            <color rgb="FF000000"/>
            <rFont val="Yu Gothic UI"/>
          </rPr>
          <t>夜勤は基本日曜日</t>
        </r>
        <r>
          <rPr>
            <b/>
            <sz val="10"/>
            <color rgb="FF000000"/>
            <rFont val="Yu Gothic UI"/>
          </rPr>
          <t xml:space="preserve">
</t>
        </r>
        <r>
          <rPr>
            <b/>
            <sz val="10"/>
            <color rgb="FF000000"/>
            <rFont val="Yu Gothic UI"/>
          </rPr>
          <t>場合によっては</t>
        </r>
        <r>
          <rPr>
            <b/>
            <sz val="10"/>
            <color rgb="FF000000"/>
            <rFont val="Yu Gothic UI"/>
          </rPr>
          <t xml:space="preserve">
</t>
        </r>
        <r>
          <rPr>
            <b/>
            <sz val="10"/>
            <color rgb="FF000000"/>
            <rFont val="Yu Gothic UI"/>
          </rPr>
          <t>月曜日も可</t>
        </r>
      </text>
    </comment>
    <comment ref="C10" authorId="0" shapeId="0" xr:uid="{5EA5F27E-BC22-E945-B2F6-A8A17437E299}">
      <text>
        <r>
          <rPr>
            <b/>
            <sz val="10"/>
            <color rgb="FF000000"/>
            <rFont val="Yu Gothic UI"/>
            <family val="3"/>
            <charset val="128"/>
          </rPr>
          <t>基本夜勤</t>
        </r>
        <r>
          <rPr>
            <b/>
            <sz val="10"/>
            <color rgb="FF000000"/>
            <rFont val="Yu Gothic UI"/>
            <family val="3"/>
            <charset val="128"/>
          </rPr>
          <t>7</t>
        </r>
        <r>
          <rPr>
            <b/>
            <sz val="10"/>
            <color rgb="FF000000"/>
            <rFont val="Yu Gothic UI"/>
            <family val="3"/>
            <charset val="128"/>
          </rPr>
          <t>勤</t>
        </r>
      </text>
    </comment>
    <comment ref="C11" authorId="0" shapeId="0" xr:uid="{4F4C4223-9629-7B4A-A691-E2B71580A7E9}">
      <text>
        <r>
          <rPr>
            <b/>
            <sz val="10"/>
            <color rgb="FF000000"/>
            <rFont val="Yu Gothic UI"/>
          </rPr>
          <t>最大</t>
        </r>
        <r>
          <rPr>
            <b/>
            <sz val="10"/>
            <color rgb="FF000000"/>
            <rFont val="Yu Gothic UI"/>
          </rPr>
          <t>15</t>
        </r>
        <r>
          <rPr>
            <b/>
            <sz val="10"/>
            <color rgb="FF000000"/>
            <rFont val="Yu Gothic UI"/>
          </rPr>
          <t>勤</t>
        </r>
        <r>
          <rPr>
            <b/>
            <sz val="10"/>
            <color rgb="FF000000"/>
            <rFont val="Yu Gothic UI"/>
          </rPr>
          <t xml:space="preserve">
</t>
        </r>
      </text>
    </comment>
    <comment ref="C12" authorId="0" shapeId="0" xr:uid="{B7F05D9D-3222-2E46-AB58-A3C6165D4B95}">
      <text>
        <r>
          <rPr>
            <sz val="10"/>
            <color rgb="FF000000"/>
            <rFont val="Yu Gothic UI"/>
          </rPr>
          <t>B,D</t>
        </r>
        <r>
          <rPr>
            <sz val="10"/>
            <color rgb="FF000000"/>
            <rFont val="Yu Gothic UI"/>
          </rPr>
          <t>は不可</t>
        </r>
        <r>
          <rPr>
            <sz val="10"/>
            <color rgb="FF000000"/>
            <rFont val="Yu Gothic UI"/>
          </rPr>
          <t xml:space="preserve">
</t>
        </r>
      </text>
    </comment>
    <comment ref="C13" authorId="0" shapeId="0" xr:uid="{5F7B11ED-3A66-4946-A55A-DFC6F49A37FA}">
      <text>
        <r>
          <rPr>
            <b/>
            <sz val="10"/>
            <color rgb="FF000000"/>
            <rFont val="Yu Gothic UI"/>
            <family val="3"/>
            <charset val="128"/>
          </rPr>
          <t>B,D</t>
        </r>
        <r>
          <rPr>
            <b/>
            <sz val="10"/>
            <color rgb="FF000000"/>
            <rFont val="Yu Gothic UI"/>
            <family val="3"/>
            <charset val="128"/>
          </rPr>
          <t>は不可</t>
        </r>
      </text>
    </comment>
    <comment ref="C14" authorId="0" shapeId="0" xr:uid="{C426401E-76C9-0B4A-9658-A56F661E014A}">
      <text>
        <r>
          <rPr>
            <b/>
            <sz val="10"/>
            <color rgb="FF000000"/>
            <rFont val="Yu Gothic UI"/>
          </rPr>
          <t>A,B,D</t>
        </r>
        <r>
          <rPr>
            <b/>
            <sz val="10"/>
            <color rgb="FF000000"/>
            <rFont val="Yu Gothic UI"/>
          </rPr>
          <t>は不可</t>
        </r>
      </text>
    </comment>
    <comment ref="C19" authorId="0" shapeId="0" xr:uid="{1EA21D30-02A9-AC47-BC38-4BE1FEAC57E6}">
      <text>
        <r>
          <rPr>
            <b/>
            <sz val="10"/>
            <color rgb="FF000000"/>
            <rFont val="Yu Gothic UI"/>
          </rPr>
          <t>6</t>
        </r>
        <r>
          <rPr>
            <b/>
            <sz val="10"/>
            <color rgb="FF000000"/>
            <rFont val="Yu Gothic UI"/>
          </rPr>
          <t>時間×</t>
        </r>
        <r>
          <rPr>
            <b/>
            <sz val="10"/>
            <color rgb="FF000000"/>
            <rFont val="Yu Gothic UI"/>
          </rPr>
          <t>13</t>
        </r>
        <r>
          <rPr>
            <b/>
            <sz val="10"/>
            <color rgb="FF000000"/>
            <rFont val="Yu Gothic UI"/>
          </rPr>
          <t>＋</t>
        </r>
        <r>
          <rPr>
            <b/>
            <sz val="10"/>
            <color rgb="FF000000"/>
            <rFont val="Yu Gothic UI"/>
          </rPr>
          <t>5</t>
        </r>
        <r>
          <rPr>
            <b/>
            <sz val="10"/>
            <color rgb="FF000000"/>
            <rFont val="Yu Gothic UI"/>
          </rPr>
          <t>時間×</t>
        </r>
        <r>
          <rPr>
            <b/>
            <sz val="10"/>
            <color rgb="FF000000"/>
            <rFont val="Yu Gothic UI"/>
          </rPr>
          <t xml:space="preserve">1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afcjapan</author>
  </authors>
  <commentList>
    <comment ref="E2" authorId="0" shapeId="0" xr:uid="{712B1EAD-2847-6346-802C-3D5E792767A2}">
      <text>
        <r>
          <rPr>
            <b/>
            <sz val="10"/>
            <color rgb="FF000000"/>
            <rFont val="Yu Gothic UI"/>
            <family val="3"/>
            <charset val="128"/>
          </rPr>
          <t>日付を入力して下さい。</t>
        </r>
      </text>
    </comment>
    <comment ref="B4" authorId="0" shapeId="0" xr:uid="{96D3B84C-8FC7-7B42-B856-0393988D87E1}">
      <text>
        <r>
          <rPr>
            <b/>
            <sz val="10"/>
            <color rgb="FF000000"/>
            <rFont val="Yu Gothic UI"/>
            <family val="3"/>
            <charset val="128"/>
          </rPr>
          <t>土日は</t>
        </r>
        <r>
          <rPr>
            <b/>
            <sz val="10"/>
            <color rgb="FF000000"/>
            <rFont val="Yu Gothic UI"/>
            <family val="3"/>
            <charset val="128"/>
          </rPr>
          <t>A</t>
        </r>
        <r>
          <rPr>
            <b/>
            <sz val="10"/>
            <color rgb="FF000000"/>
            <rFont val="Yu Gothic UI"/>
            <family val="3"/>
            <charset val="128"/>
          </rPr>
          <t>勤なしでも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OK
</t>
        </r>
        <r>
          <rPr>
            <b/>
            <sz val="10"/>
            <color rgb="FF000000"/>
            <rFont val="Yu Gothic UI"/>
            <family val="3"/>
            <charset val="128"/>
          </rPr>
          <t>BD</t>
        </r>
        <r>
          <rPr>
            <b/>
            <sz val="10"/>
            <color rgb="FF000000"/>
            <rFont val="Yu Gothic UI"/>
            <family val="3"/>
            <charset val="128"/>
          </rPr>
          <t>あり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</text>
    </comment>
    <comment ref="D10" authorId="0" shapeId="0" xr:uid="{F11CEAE2-E1A5-E542-8A41-05B62A993AD8}">
      <text>
        <r>
          <rPr>
            <b/>
            <sz val="10"/>
            <color rgb="FF000000"/>
            <rFont val="Yu Gothic UI"/>
            <family val="3"/>
            <charset val="128"/>
          </rPr>
          <t>A</t>
        </r>
        <r>
          <rPr>
            <b/>
            <sz val="10"/>
            <color rgb="FF000000"/>
            <rFont val="Yu Gothic UI"/>
            <family val="3"/>
            <charset val="128"/>
          </rPr>
          <t>勤</t>
        </r>
        <r>
          <rPr>
            <b/>
            <sz val="10"/>
            <color rgb="FF000000"/>
            <rFont val="Yu Gothic UI"/>
            <family val="3"/>
            <charset val="128"/>
          </rPr>
          <t>C</t>
        </r>
        <r>
          <rPr>
            <b/>
            <sz val="10"/>
            <color rgb="FF000000"/>
            <rFont val="Yu Gothic UI"/>
            <family val="3"/>
            <charset val="128"/>
          </rPr>
          <t>勤不可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夜勤は基本日曜日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場合によっては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月曜日も可</t>
        </r>
      </text>
    </comment>
    <comment ref="D11" authorId="0" shapeId="0" xr:uid="{B0291F25-6117-8B42-813D-18AF636674B3}">
      <text>
        <r>
          <rPr>
            <b/>
            <sz val="10"/>
            <color rgb="FF000000"/>
            <rFont val="Yu Gothic UI"/>
            <family val="3"/>
            <charset val="128"/>
          </rPr>
          <t>A</t>
        </r>
        <r>
          <rPr>
            <b/>
            <sz val="10"/>
            <color rgb="FF000000"/>
            <rFont val="Yu Gothic UI"/>
            <family val="3"/>
            <charset val="128"/>
          </rPr>
          <t>勤</t>
        </r>
        <r>
          <rPr>
            <b/>
            <sz val="10"/>
            <color rgb="FF000000"/>
            <rFont val="Yu Gothic UI"/>
            <family val="3"/>
            <charset val="128"/>
          </rPr>
          <t>C</t>
        </r>
        <r>
          <rPr>
            <b/>
            <sz val="10"/>
            <color rgb="FF000000"/>
            <rFont val="Yu Gothic UI"/>
            <family val="3"/>
            <charset val="128"/>
          </rPr>
          <t>勤不可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夜勤は基本日曜日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場合によっては</t>
        </r>
        <r>
          <rPr>
            <b/>
            <sz val="10"/>
            <color rgb="FF000000"/>
            <rFont val="Yu Gothic UI"/>
            <family val="3"/>
            <charset val="128"/>
          </rPr>
          <t xml:space="preserve">
</t>
        </r>
        <r>
          <rPr>
            <b/>
            <sz val="10"/>
            <color rgb="FF000000"/>
            <rFont val="Yu Gothic UI"/>
            <family val="3"/>
            <charset val="128"/>
          </rPr>
          <t>月曜日も可</t>
        </r>
      </text>
    </comment>
    <comment ref="D12" authorId="0" shapeId="0" xr:uid="{16F4E497-1774-2946-A947-41592292ACA5}">
      <text>
        <r>
          <rPr>
            <b/>
            <sz val="10"/>
            <color rgb="FF000000"/>
            <rFont val="Yu Gothic UI"/>
            <family val="3"/>
            <charset val="128"/>
          </rPr>
          <t>基本夜勤</t>
        </r>
        <r>
          <rPr>
            <b/>
            <sz val="10"/>
            <color rgb="FF000000"/>
            <rFont val="Yu Gothic UI"/>
            <family val="3"/>
            <charset val="128"/>
          </rPr>
          <t>7</t>
        </r>
        <r>
          <rPr>
            <b/>
            <sz val="10"/>
            <color rgb="FF000000"/>
            <rFont val="Yu Gothic UI"/>
            <family val="3"/>
            <charset val="128"/>
          </rPr>
          <t>勤</t>
        </r>
      </text>
    </comment>
    <comment ref="D13" authorId="0" shapeId="0" xr:uid="{9510975D-73EA-E240-B215-9B0019C04613}">
      <text>
        <r>
          <rPr>
            <b/>
            <sz val="10"/>
            <color rgb="FF000000"/>
            <rFont val="Yu Gothic UI"/>
          </rPr>
          <t>基本最大</t>
        </r>
        <r>
          <rPr>
            <b/>
            <sz val="10"/>
            <color rgb="FF000000"/>
            <rFont val="Yu Gothic UI"/>
          </rPr>
          <t>15</t>
        </r>
        <r>
          <rPr>
            <b/>
            <sz val="10"/>
            <color rgb="FF000000"/>
            <rFont val="Yu Gothic UI"/>
          </rPr>
          <t>勤</t>
        </r>
      </text>
    </comment>
    <comment ref="D14" authorId="0" shapeId="0" xr:uid="{AC13D52F-EEA7-DD42-91F0-AA18A827E754}">
      <text>
        <r>
          <rPr>
            <b/>
            <sz val="10"/>
            <color rgb="FF000000"/>
            <rFont val="Yu Gothic UI"/>
          </rPr>
          <t>A</t>
        </r>
        <r>
          <rPr>
            <sz val="10"/>
            <color rgb="FF000000"/>
            <rFont val="Yu Gothic UI"/>
          </rPr>
          <t>はなるべく水曜</t>
        </r>
        <r>
          <rPr>
            <sz val="10"/>
            <color rgb="FF000000"/>
            <rFont val="Yu Gothic UI"/>
          </rPr>
          <t xml:space="preserve">
</t>
        </r>
        <r>
          <rPr>
            <sz val="10"/>
            <color rgb="FF000000"/>
            <rFont val="Yu Gothic UI"/>
          </rPr>
          <t>B,D</t>
        </r>
        <r>
          <rPr>
            <sz val="10"/>
            <color rgb="FF000000"/>
            <rFont val="Yu Gothic UI"/>
          </rPr>
          <t>は不可</t>
        </r>
        <r>
          <rPr>
            <sz val="10"/>
            <color rgb="FF000000"/>
            <rFont val="Yu Gothic UI"/>
          </rPr>
          <t xml:space="preserve">
</t>
        </r>
      </text>
    </comment>
    <comment ref="D15" authorId="0" shapeId="0" xr:uid="{7D9CDF60-EAE7-E641-B2CA-8A6E4B622BAA}">
      <text>
        <r>
          <rPr>
            <b/>
            <sz val="10"/>
            <color rgb="FF000000"/>
            <rFont val="Yu Gothic UI"/>
            <family val="3"/>
            <charset val="128"/>
          </rPr>
          <t>B,D</t>
        </r>
        <r>
          <rPr>
            <b/>
            <sz val="10"/>
            <color rgb="FF000000"/>
            <rFont val="Yu Gothic UI"/>
            <family val="3"/>
            <charset val="128"/>
          </rPr>
          <t>は不可</t>
        </r>
      </text>
    </comment>
    <comment ref="D16" authorId="0" shapeId="0" xr:uid="{9AF1EF2D-630F-4544-9ACA-AE2157551851}">
      <text>
        <r>
          <rPr>
            <b/>
            <sz val="10"/>
            <color rgb="FF000000"/>
            <rFont val="Yu Gothic UI"/>
            <family val="3"/>
            <charset val="128"/>
          </rPr>
          <t>A,B,D</t>
        </r>
        <r>
          <rPr>
            <b/>
            <sz val="10"/>
            <color rgb="FF000000"/>
            <rFont val="Yu Gothic UI"/>
            <family val="3"/>
            <charset val="128"/>
          </rPr>
          <t>は不可</t>
        </r>
      </text>
    </comment>
    <comment ref="D22" authorId="0" shapeId="0" xr:uid="{54F5E457-34A8-E84B-87DF-38810914ECE7}">
      <text>
        <r>
          <rPr>
            <b/>
            <sz val="10"/>
            <color rgb="FF000000"/>
            <rFont val="Yu Gothic UI"/>
          </rPr>
          <t>6</t>
        </r>
        <r>
          <rPr>
            <b/>
            <sz val="10"/>
            <color rgb="FF000000"/>
            <rFont val="Yu Gothic UI"/>
          </rPr>
          <t>時間×</t>
        </r>
        <r>
          <rPr>
            <b/>
            <sz val="10"/>
            <color rgb="FF000000"/>
            <rFont val="Yu Gothic UI"/>
          </rPr>
          <t>13</t>
        </r>
        <r>
          <rPr>
            <b/>
            <sz val="10"/>
            <color rgb="FF000000"/>
            <rFont val="Yu Gothic UI"/>
          </rPr>
          <t>＋</t>
        </r>
        <r>
          <rPr>
            <b/>
            <sz val="10"/>
            <color rgb="FF000000"/>
            <rFont val="Yu Gothic UI"/>
          </rPr>
          <t>5</t>
        </r>
        <r>
          <rPr>
            <b/>
            <sz val="10"/>
            <color rgb="FF000000"/>
            <rFont val="Yu Gothic UI"/>
          </rPr>
          <t>時間×</t>
        </r>
        <r>
          <rPr>
            <b/>
            <sz val="10"/>
            <color rgb="FF000000"/>
            <rFont val="Yu Gothic UI"/>
          </rPr>
          <t xml:space="preserve">1
</t>
        </r>
      </text>
    </comment>
    <comment ref="D27" authorId="0" shapeId="0" xr:uid="{C3630ECC-5772-614C-A061-A56DDA8F464D}">
      <text>
        <r>
          <rPr>
            <b/>
            <sz val="10"/>
            <color rgb="FF000000"/>
            <rFont val="Yu Gothic UI"/>
          </rPr>
          <t>A</t>
        </r>
        <r>
          <rPr>
            <b/>
            <sz val="10"/>
            <color rgb="FF000000"/>
            <rFont val="Yu Gothic UI"/>
          </rPr>
          <t>勤</t>
        </r>
        <r>
          <rPr>
            <b/>
            <sz val="10"/>
            <color rgb="FF000000"/>
            <rFont val="Yu Gothic UI"/>
          </rPr>
          <t>C</t>
        </r>
        <r>
          <rPr>
            <b/>
            <sz val="10"/>
            <color rgb="FF000000"/>
            <rFont val="Yu Gothic UI"/>
          </rPr>
          <t>勤不可</t>
        </r>
        <r>
          <rPr>
            <b/>
            <sz val="10"/>
            <color rgb="FF000000"/>
            <rFont val="Yu Gothic UI"/>
          </rPr>
          <t xml:space="preserve">
</t>
        </r>
        <r>
          <rPr>
            <b/>
            <sz val="10"/>
            <color rgb="FF000000"/>
            <rFont val="Yu Gothic UI"/>
          </rPr>
          <t>夜勤は基本日曜日</t>
        </r>
        <r>
          <rPr>
            <b/>
            <sz val="10"/>
            <color rgb="FF000000"/>
            <rFont val="Yu Gothic UI"/>
          </rPr>
          <t xml:space="preserve">
</t>
        </r>
        <r>
          <rPr>
            <b/>
            <sz val="10"/>
            <color rgb="FF000000"/>
            <rFont val="Yu Gothic UI"/>
          </rPr>
          <t>場合によっては</t>
        </r>
        <r>
          <rPr>
            <b/>
            <sz val="10"/>
            <color rgb="FF000000"/>
            <rFont val="Yu Gothic UI"/>
          </rPr>
          <t xml:space="preserve">
</t>
        </r>
        <r>
          <rPr>
            <b/>
            <sz val="10"/>
            <color rgb="FF000000"/>
            <rFont val="Yu Gothic UI"/>
          </rPr>
          <t>月曜日も可</t>
        </r>
      </text>
    </comment>
    <comment ref="D28" authorId="0" shapeId="0" xr:uid="{61626D8F-C239-A44B-A628-F667B7BA58B8}">
      <text>
        <r>
          <rPr>
            <b/>
            <sz val="10"/>
            <color rgb="FF000000"/>
            <rFont val="Yu Gothic UI"/>
          </rPr>
          <t>A</t>
        </r>
        <r>
          <rPr>
            <sz val="10"/>
            <color rgb="FF000000"/>
            <rFont val="Yu Gothic UI"/>
          </rPr>
          <t>はなるべく水曜</t>
        </r>
        <r>
          <rPr>
            <sz val="10"/>
            <color rgb="FF000000"/>
            <rFont val="Yu Gothic UI"/>
          </rPr>
          <t xml:space="preserve">
</t>
        </r>
        <r>
          <rPr>
            <sz val="10"/>
            <color rgb="FF000000"/>
            <rFont val="Yu Gothic UI"/>
          </rPr>
          <t>B,D</t>
        </r>
        <r>
          <rPr>
            <sz val="10"/>
            <color rgb="FF000000"/>
            <rFont val="Yu Gothic UI"/>
          </rPr>
          <t>は不可</t>
        </r>
        <r>
          <rPr>
            <sz val="10"/>
            <color rgb="FF000000"/>
            <rFont val="Yu Gothic UI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<sst xmlns="http://schemas.openxmlformats.org/spreadsheetml/2006/main" count="515" uniqueCount="100">
  <si>
    <t>夜</t>
    <rPh sb="0" eb="1">
      <t>ヤ</t>
    </rPh>
    <phoneticPr fontId="1"/>
  </si>
  <si>
    <t>C</t>
    <phoneticPr fontId="1"/>
  </si>
  <si>
    <t>休</t>
    <rPh sb="0" eb="1">
      <t>ヤス</t>
    </rPh>
    <phoneticPr fontId="1"/>
  </si>
  <si>
    <t>休</t>
    <rPh sb="0" eb="1">
      <t>ヤス</t>
    </rPh>
    <phoneticPr fontId="1"/>
  </si>
  <si>
    <t>明</t>
    <rPh sb="0" eb="1">
      <t>アケ</t>
    </rPh>
    <phoneticPr fontId="1"/>
  </si>
  <si>
    <t>吉玉　薫</t>
  </si>
  <si>
    <t>興梠　道子</t>
  </si>
  <si>
    <t>渡邊　哲也</t>
  </si>
  <si>
    <t>飯星　まゆみ</t>
  </si>
  <si>
    <t>甲斐　裕美子</t>
  </si>
  <si>
    <t>辰見　イツ子</t>
  </si>
  <si>
    <t>堀  カズ子</t>
  </si>
  <si>
    <t>町　　倫子</t>
  </si>
  <si>
    <t>A</t>
    <phoneticPr fontId="1"/>
  </si>
  <si>
    <t>Ａ</t>
    <phoneticPr fontId="1"/>
  </si>
  <si>
    <t>有</t>
    <rPh sb="0" eb="1">
      <t>ユウ</t>
    </rPh>
    <phoneticPr fontId="1"/>
  </si>
  <si>
    <t>田上　元美</t>
    <phoneticPr fontId="1"/>
  </si>
  <si>
    <t>調</t>
    <rPh sb="0" eb="1">
      <t>チョウ</t>
    </rPh>
    <phoneticPr fontId="1"/>
  </si>
  <si>
    <t>甲斐　幸子</t>
    <rPh sb="0" eb="2">
      <t>カイ</t>
    </rPh>
    <rPh sb="3" eb="5">
      <t>サチコ</t>
    </rPh>
    <phoneticPr fontId="1"/>
  </si>
  <si>
    <t>甲斐　充代</t>
    <phoneticPr fontId="1"/>
  </si>
  <si>
    <t>甲斐　静幸</t>
    <phoneticPr fontId="1"/>
  </si>
  <si>
    <t>花田　友代</t>
    <rPh sb="0" eb="2">
      <t>ハナダ</t>
    </rPh>
    <rPh sb="3" eb="4">
      <t>トモ</t>
    </rPh>
    <rPh sb="4" eb="5">
      <t>ダイ</t>
    </rPh>
    <phoneticPr fontId="1"/>
  </si>
  <si>
    <t>希</t>
    <rPh sb="0" eb="1">
      <t>キ</t>
    </rPh>
    <phoneticPr fontId="1"/>
  </si>
  <si>
    <t>明</t>
    <rPh sb="0" eb="1">
      <t>ア</t>
    </rPh>
    <phoneticPr fontId="1"/>
  </si>
  <si>
    <t>Ｃ</t>
    <phoneticPr fontId="1"/>
  </si>
  <si>
    <t>休</t>
    <rPh sb="0" eb="1">
      <t>キュウ</t>
    </rPh>
    <phoneticPr fontId="1"/>
  </si>
  <si>
    <t>Ｄ</t>
    <phoneticPr fontId="1"/>
  </si>
  <si>
    <t>Ｂ</t>
    <phoneticPr fontId="1"/>
  </si>
  <si>
    <t>小椋　富美</t>
    <phoneticPr fontId="1"/>
  </si>
  <si>
    <t>管理者</t>
    <rPh sb="0" eb="3">
      <t xml:space="preserve">カンリシャ </t>
    </rPh>
    <phoneticPr fontId="1"/>
  </si>
  <si>
    <t>計画作成担当者</t>
    <phoneticPr fontId="1"/>
  </si>
  <si>
    <t>生活相談員</t>
    <phoneticPr fontId="1"/>
  </si>
  <si>
    <t>看護職員</t>
    <phoneticPr fontId="1"/>
  </si>
  <si>
    <t>機能訓練指導員</t>
    <phoneticPr fontId="1"/>
  </si>
  <si>
    <t>介護職員</t>
    <phoneticPr fontId="1"/>
  </si>
  <si>
    <t>事務職員</t>
    <rPh sb="0" eb="2">
      <t xml:space="preserve">ジム </t>
    </rPh>
    <rPh sb="2" eb="4">
      <t xml:space="preserve">ショクイン </t>
    </rPh>
    <phoneticPr fontId="1"/>
  </si>
  <si>
    <t>調理職員</t>
    <rPh sb="0" eb="2">
      <t xml:space="preserve">チョウリ </t>
    </rPh>
    <rPh sb="2" eb="4">
      <t xml:space="preserve">ショクイン </t>
    </rPh>
    <phoneticPr fontId="1"/>
  </si>
  <si>
    <t>B(7:00-16:00)</t>
    <phoneticPr fontId="25"/>
  </si>
  <si>
    <t>甲斐　千代美</t>
  </si>
  <si>
    <t>椎葉　玲子</t>
    <phoneticPr fontId="1"/>
  </si>
  <si>
    <t>シフト成立</t>
    <rPh sb="3" eb="5">
      <t xml:space="preserve">セイリツ </t>
    </rPh>
    <phoneticPr fontId="25"/>
  </si>
  <si>
    <t>シフト表</t>
    <rPh sb="3" eb="4">
      <t xml:space="preserve">ヒョウ </t>
    </rPh>
    <phoneticPr fontId="1"/>
  </si>
  <si>
    <t>〜</t>
    <phoneticPr fontId="1"/>
  </si>
  <si>
    <t>出勤上限</t>
    <rPh sb="0" eb="2">
      <t xml:space="preserve">シュッキン </t>
    </rPh>
    <rPh sb="2" eb="4">
      <t xml:space="preserve">ジョウゲン </t>
    </rPh>
    <phoneticPr fontId="1"/>
  </si>
  <si>
    <t>出勤計</t>
    <rPh sb="0" eb="2">
      <t xml:space="preserve">シュッキン </t>
    </rPh>
    <rPh sb="2" eb="3">
      <t xml:space="preserve">ケイ </t>
    </rPh>
    <phoneticPr fontId="1"/>
  </si>
  <si>
    <t>出勤日数
チェック</t>
    <rPh sb="0" eb="2">
      <t xml:space="preserve">シュッキン </t>
    </rPh>
    <rPh sb="2" eb="4">
      <t xml:space="preserve">ニッスウ </t>
    </rPh>
    <phoneticPr fontId="1"/>
  </si>
  <si>
    <t>休日・有給</t>
    <rPh sb="0" eb="2">
      <t xml:space="preserve">キュウジツ </t>
    </rPh>
    <rPh sb="3" eb="5">
      <t xml:space="preserve">ユウキュウ </t>
    </rPh>
    <phoneticPr fontId="1"/>
  </si>
  <si>
    <t>出勤合計</t>
    <rPh sb="0" eb="2">
      <t xml:space="preserve">シュッキン </t>
    </rPh>
    <rPh sb="2" eb="4">
      <t xml:space="preserve">ゴウケイ </t>
    </rPh>
    <phoneticPr fontId="1"/>
  </si>
  <si>
    <t>有</t>
    <rPh sb="0" eb="1">
      <t>㈲</t>
    </rPh>
    <phoneticPr fontId="1"/>
  </si>
  <si>
    <t>高本　みち子</t>
    <rPh sb="0" eb="2">
      <t>タカモト</t>
    </rPh>
    <rPh sb="5" eb="6">
      <t>コ</t>
    </rPh>
    <phoneticPr fontId="1"/>
  </si>
  <si>
    <t>はあとふる</t>
    <phoneticPr fontId="1"/>
  </si>
  <si>
    <t>介護関連職員出勤数</t>
    <rPh sb="0" eb="2">
      <t xml:space="preserve">カイゴ </t>
    </rPh>
    <rPh sb="2" eb="4">
      <t xml:space="preserve">カンレン </t>
    </rPh>
    <rPh sb="4" eb="6">
      <t xml:space="preserve">ショクイン </t>
    </rPh>
    <rPh sb="6" eb="9">
      <t xml:space="preserve">シュッキンスウ </t>
    </rPh>
    <phoneticPr fontId="1"/>
  </si>
  <si>
    <t>介護職員条件満たしているか</t>
    <rPh sb="0" eb="2">
      <t xml:space="preserve">カイゴ </t>
    </rPh>
    <rPh sb="2" eb="4">
      <t xml:space="preserve">ショクイン </t>
    </rPh>
    <rPh sb="4" eb="6">
      <t xml:space="preserve">ジョウケン </t>
    </rPh>
    <rPh sb="6" eb="7">
      <t xml:space="preserve">ミタシテイルカ </t>
    </rPh>
    <phoneticPr fontId="1"/>
  </si>
  <si>
    <t>Ｅ</t>
  </si>
  <si>
    <t>研</t>
    <rPh sb="0" eb="1">
      <t xml:space="preserve">ケンシュウ </t>
    </rPh>
    <phoneticPr fontId="1"/>
  </si>
  <si>
    <t>E(8:10-17:10)</t>
    <phoneticPr fontId="1"/>
  </si>
  <si>
    <t>佐藤　いそみ</t>
    <rPh sb="0" eb="2">
      <t xml:space="preserve">サトウ </t>
    </rPh>
    <phoneticPr fontId="1"/>
  </si>
  <si>
    <t>Ｅ</t>
    <phoneticPr fontId="1"/>
  </si>
  <si>
    <t>B</t>
    <phoneticPr fontId="1"/>
  </si>
  <si>
    <t>D</t>
    <phoneticPr fontId="1"/>
  </si>
  <si>
    <t>【結果】</t>
    <rPh sb="1" eb="3">
      <t xml:space="preserve">ケッカ </t>
    </rPh>
    <phoneticPr fontId="1"/>
  </si>
  <si>
    <t>吉玉　茂春</t>
    <rPh sb="0" eb="2">
      <t xml:space="preserve">ヨシタマ </t>
    </rPh>
    <rPh sb="3" eb="5">
      <t xml:space="preserve">シゲハル </t>
    </rPh>
    <phoneticPr fontId="1"/>
  </si>
  <si>
    <t>常勤/専従</t>
    <rPh sb="0" eb="2">
      <t xml:space="preserve">ジョウキン </t>
    </rPh>
    <rPh sb="3" eb="5">
      <t xml:space="preserve">センジュウ </t>
    </rPh>
    <phoneticPr fontId="1"/>
  </si>
  <si>
    <t>常勤/兼任</t>
    <rPh sb="0" eb="2">
      <t xml:space="preserve">ジョウキン </t>
    </rPh>
    <rPh sb="3" eb="5">
      <t xml:space="preserve">ケンニン </t>
    </rPh>
    <phoneticPr fontId="1"/>
  </si>
  <si>
    <t>非常勤/専従</t>
    <rPh sb="0" eb="3">
      <t xml:space="preserve">ヒジョウキン </t>
    </rPh>
    <rPh sb="4" eb="6">
      <t xml:space="preserve">センジュウ </t>
    </rPh>
    <phoneticPr fontId="1"/>
  </si>
  <si>
    <t>非常勤/兼任</t>
    <rPh sb="0" eb="2">
      <t xml:space="preserve">ヒジョウ </t>
    </rPh>
    <rPh sb="2" eb="3">
      <t xml:space="preserve">キン </t>
    </rPh>
    <rPh sb="4" eb="6">
      <t xml:space="preserve">ケンニン </t>
    </rPh>
    <phoneticPr fontId="1"/>
  </si>
  <si>
    <t>吉玉　薫</t>
    <rPh sb="0" eb="2">
      <t xml:space="preserve">ヨシタマ </t>
    </rPh>
    <rPh sb="3" eb="4">
      <t xml:space="preserve">カオル </t>
    </rPh>
    <phoneticPr fontId="1"/>
  </si>
  <si>
    <t>【予定】</t>
    <rPh sb="1" eb="3">
      <t xml:space="preserve">ヨテイ </t>
    </rPh>
    <phoneticPr fontId="1"/>
  </si>
  <si>
    <t>夜勤</t>
    <rPh sb="0" eb="2">
      <t xml:space="preserve">ヤキン </t>
    </rPh>
    <phoneticPr fontId="1"/>
  </si>
  <si>
    <t>A(9:30-17:30)</t>
    <phoneticPr fontId="25"/>
  </si>
  <si>
    <t>D(8:30-16:30)</t>
    <phoneticPr fontId="25"/>
  </si>
  <si>
    <t>夜勤(17:00-1:00)</t>
    <rPh sb="0" eb="2">
      <t xml:space="preserve">ヤキン </t>
    </rPh>
    <phoneticPr fontId="25"/>
  </si>
  <si>
    <t>明け(1:00-9:00)</t>
    <rPh sb="0" eb="1">
      <t xml:space="preserve">アケ </t>
    </rPh>
    <phoneticPr fontId="25"/>
  </si>
  <si>
    <t>花田　美幸</t>
    <rPh sb="0" eb="2">
      <t>ハナダ</t>
    </rPh>
    <rPh sb="3" eb="5">
      <t xml:space="preserve">ミユキ </t>
    </rPh>
    <phoneticPr fontId="1"/>
  </si>
  <si>
    <t>Ｆ</t>
    <phoneticPr fontId="1"/>
  </si>
  <si>
    <t>C(12:30-20:30)</t>
    <phoneticPr fontId="25"/>
  </si>
  <si>
    <t>E(8:30-16:30)</t>
    <phoneticPr fontId="25"/>
  </si>
  <si>
    <t>健</t>
    <rPh sb="0" eb="1">
      <t xml:space="preserve">ケンコウ </t>
    </rPh>
    <phoneticPr fontId="1"/>
  </si>
  <si>
    <t>調1</t>
    <rPh sb="0" eb="1">
      <t>チョウ</t>
    </rPh>
    <phoneticPr fontId="1"/>
  </si>
  <si>
    <t>調2</t>
    <rPh sb="0" eb="1">
      <t>チョウ</t>
    </rPh>
    <phoneticPr fontId="1"/>
  </si>
  <si>
    <r>
      <t>調</t>
    </r>
    <r>
      <rPr>
        <sz val="6"/>
        <color theme="0"/>
        <rFont val="HGS創英ﾌﾟﾚｾﾞﾝｽEB"/>
        <family val="1"/>
        <charset val="128"/>
      </rPr>
      <t>1</t>
    </r>
    <rPh sb="0" eb="1">
      <t>チョウ</t>
    </rPh>
    <phoneticPr fontId="1"/>
  </si>
  <si>
    <r>
      <t>調</t>
    </r>
    <r>
      <rPr>
        <sz val="6"/>
        <color theme="0"/>
        <rFont val="HGS創英ﾌﾟﾚｾﾞﾝｽEB"/>
        <family val="1"/>
        <charset val="128"/>
      </rPr>
      <t>2</t>
    </r>
    <rPh sb="0" eb="1">
      <t>チョウ</t>
    </rPh>
    <phoneticPr fontId="1"/>
  </si>
  <si>
    <t>他</t>
    <rPh sb="0" eb="1">
      <t xml:space="preserve">タ </t>
    </rPh>
    <phoneticPr fontId="1"/>
  </si>
  <si>
    <t>夜勤</t>
    <rPh sb="0" eb="1">
      <t xml:space="preserve">ヤキン </t>
    </rPh>
    <rPh sb="1" eb="2">
      <t xml:space="preserve">キン </t>
    </rPh>
    <phoneticPr fontId="1"/>
  </si>
  <si>
    <t>推奨シフト</t>
    <rPh sb="0" eb="2">
      <t xml:space="preserve">スイショウ </t>
    </rPh>
    <phoneticPr fontId="1"/>
  </si>
  <si>
    <t>A30分早出or
夜勤30分残業</t>
    <rPh sb="4" eb="6">
      <t xml:space="preserve">ハヤデ </t>
    </rPh>
    <rPh sb="8" eb="10">
      <t xml:space="preserve">ヤキン </t>
    </rPh>
    <rPh sb="12" eb="13">
      <t xml:space="preserve">フン </t>
    </rPh>
    <rPh sb="13" eb="15">
      <t xml:space="preserve">ザンギョウ </t>
    </rPh>
    <phoneticPr fontId="1"/>
  </si>
  <si>
    <t>D30分残業</t>
    <phoneticPr fontId="1"/>
  </si>
  <si>
    <t>夜</t>
    <rPh sb="0" eb="1">
      <t xml:space="preserve">ヨル </t>
    </rPh>
    <phoneticPr fontId="1"/>
  </si>
  <si>
    <t>明</t>
    <rPh sb="0" eb="1">
      <t xml:space="preserve">アケ </t>
    </rPh>
    <phoneticPr fontId="1"/>
  </si>
  <si>
    <t>合計</t>
    <rPh sb="0" eb="2">
      <t xml:space="preserve">ゴウケイ </t>
    </rPh>
    <phoneticPr fontId="1"/>
  </si>
  <si>
    <t>所定日数</t>
    <rPh sb="0" eb="2">
      <t xml:space="preserve">ショテイ </t>
    </rPh>
    <rPh sb="2" eb="4">
      <t xml:space="preserve">ニッスウ </t>
    </rPh>
    <phoneticPr fontId="1"/>
  </si>
  <si>
    <t>有給</t>
    <rPh sb="0" eb="2">
      <t xml:space="preserve">ユウキュウ </t>
    </rPh>
    <phoneticPr fontId="1"/>
  </si>
  <si>
    <t>日勤可能数</t>
    <rPh sb="0" eb="2">
      <t xml:space="preserve">ニッキン </t>
    </rPh>
    <rPh sb="2" eb="5">
      <t xml:space="preserve">カノウスウ </t>
    </rPh>
    <phoneticPr fontId="1"/>
  </si>
  <si>
    <t>出勤可能日数</t>
    <rPh sb="0" eb="2">
      <t xml:space="preserve">シュッキン </t>
    </rPh>
    <rPh sb="2" eb="4">
      <t xml:space="preserve">カノウ </t>
    </rPh>
    <rPh sb="4" eb="6">
      <t xml:space="preserve">ニッスウ </t>
    </rPh>
    <phoneticPr fontId="1"/>
  </si>
  <si>
    <t>調理</t>
    <rPh sb="0" eb="2">
      <t xml:space="preserve">チョウリ </t>
    </rPh>
    <phoneticPr fontId="1"/>
  </si>
  <si>
    <t>夜勤/明</t>
    <rPh sb="0" eb="2">
      <t xml:space="preserve">ヤキン </t>
    </rPh>
    <rPh sb="3" eb="4">
      <t xml:space="preserve">アケ </t>
    </rPh>
    <phoneticPr fontId="1"/>
  </si>
  <si>
    <t>休</t>
    <rPh sb="0" eb="1">
      <t xml:space="preserve">キュウ </t>
    </rPh>
    <phoneticPr fontId="1"/>
  </si>
  <si>
    <t>A(9:00-17:00)</t>
    <phoneticPr fontId="25"/>
  </si>
  <si>
    <t>甲斐　美菜子</t>
    <rPh sb="0" eb="2">
      <t>カイ</t>
    </rPh>
    <rPh sb="3" eb="5">
      <t>ヨシコ</t>
    </rPh>
    <phoneticPr fontId="1"/>
  </si>
  <si>
    <t>松本　きくみ</t>
    <rPh sb="0" eb="2">
      <t xml:space="preserve">マツモト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</si>
</sst>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d"/>
  </numFmts>
  <fonts count="10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AR P丸ゴシック体M"/>
      <family val="3"/>
      <charset val="128"/>
    </font>
    <font>
      <b/>
      <sz val="16"/>
      <color theme="1"/>
      <name val="HGS創英ﾌﾟﾚｾﾞﾝｽEB"/>
      <family val="1"/>
      <charset val="128"/>
    </font>
    <font>
      <sz val="16"/>
      <color theme="1"/>
      <name val="HGS創英ﾌﾟﾚｾﾞﾝｽEB"/>
      <family val="1"/>
      <charset val="128"/>
    </font>
    <font>
      <sz val="11"/>
      <color theme="1"/>
      <name val="HGP創英ﾌﾟﾚｾﾞﾝｽEB"/>
      <family val="1"/>
      <charset val="128"/>
    </font>
    <font>
      <sz val="11"/>
      <color theme="1"/>
      <name val="HGS創英ﾌﾟﾚｾﾞﾝｽEB"/>
      <family val="1"/>
      <charset val="128"/>
    </font>
    <font>
      <sz val="16"/>
      <color theme="0"/>
      <name val="HGS創英ﾌﾟﾚｾﾞﾝｽEB"/>
      <family val="1"/>
      <charset val="128"/>
    </font>
    <font>
      <sz val="16"/>
      <color rgb="FFFF0000"/>
      <name val="HGS創英ﾌﾟﾚｾﾞﾝｽEB"/>
      <family val="1"/>
      <charset val="128"/>
    </font>
    <font>
      <sz val="20"/>
      <color theme="1"/>
      <name val="HGS創英ﾌﾟﾚｾﾞﾝｽEB"/>
      <family val="1"/>
      <charset val="128"/>
    </font>
    <font>
      <sz val="16"/>
      <name val="HGS創英ﾌﾟﾚｾﾞﾝｽEB"/>
      <family val="1"/>
      <charset val="128"/>
    </font>
    <font>
      <sz val="22"/>
      <color theme="1"/>
      <name val="HGS創英ﾌﾟﾚｾﾞﾝｽEB"/>
      <family val="1"/>
      <charset val="128"/>
    </font>
    <font>
      <sz val="18"/>
      <color theme="1"/>
      <name val="HGS創英ﾌﾟﾚｾﾞﾝｽEB"/>
      <family val="1"/>
      <charset val="128"/>
    </font>
    <font>
      <sz val="18"/>
      <color theme="0"/>
      <name val="HGS創英ﾌﾟﾚｾﾞﾝｽEB"/>
      <family val="1"/>
      <charset val="128"/>
    </font>
    <font>
      <sz val="20"/>
      <color theme="0"/>
      <name val="HGS創英ﾌﾟﾚｾﾞﾝｽEB"/>
      <family val="1"/>
      <charset val="128"/>
    </font>
    <font>
      <sz val="16"/>
      <color rgb="FF000000"/>
      <name val="HGS創英ﾌﾟﾚｾﾞﾝｽEB"/>
      <family val="1"/>
      <charset val="128"/>
    </font>
    <font>
      <sz val="14"/>
      <color theme="1"/>
      <name val="HGS創英ﾌﾟﾚｾﾞﾝｽEB"/>
      <family val="1"/>
      <charset val="128"/>
    </font>
    <font>
      <b/>
      <u/>
      <sz val="14"/>
      <color theme="1"/>
      <name val="HGS創英ﾌﾟﾚｾﾞﾝｽEB"/>
      <family val="1"/>
      <charset val="128"/>
    </font>
    <font>
      <b/>
      <sz val="14"/>
      <color theme="1"/>
      <name val="HGS創英ﾌﾟﾚｾﾞﾝｽEB"/>
      <family val="1"/>
      <charset val="128"/>
    </font>
    <font>
      <sz val="20"/>
      <color theme="1"/>
      <name val="HGP創英ﾌﾟﾚｾﾞﾝｽEB"/>
      <family val="1"/>
      <charset val="128"/>
    </font>
    <font>
      <sz val="22"/>
      <color theme="0"/>
      <name val="HGS創英ﾌﾟﾚｾﾞﾝｽEB"/>
      <family val="1"/>
      <charset val="128"/>
    </font>
    <font>
      <sz val="22"/>
      <color rgb="FF000000"/>
      <name val="HGS創英ﾌﾟﾚｾﾞﾝｽEB"/>
      <family val="1"/>
      <charset val="128"/>
    </font>
    <font>
      <sz val="20"/>
      <color rgb="FF000000"/>
      <name val="HGS創英ﾌﾟﾚｾﾞﾝｽEB"/>
      <family val="1"/>
      <charset val="128"/>
    </font>
    <font>
      <sz val="22"/>
      <color rgb="FFFF0000"/>
      <name val="HGS創英ﾌﾟﾚｾﾞﾝｽEB"/>
      <family val="1"/>
      <charset val="128"/>
    </font>
    <font>
      <sz val="14"/>
      <color theme="1"/>
      <name val="HGP創英ﾌﾟﾚｾﾞﾝｽEB"/>
      <family val="1"/>
      <charset val="128"/>
    </font>
    <font>
      <sz val="6"/>
      <name val="Meiryo"/>
      <family val="2"/>
      <charset val="128"/>
    </font>
    <font>
      <sz val="11"/>
      <color theme="1"/>
      <name val="HG創英角ｺﾞｼｯｸUB"/>
      <family val="2"/>
      <charset val="128"/>
    </font>
    <font>
      <sz val="14"/>
      <name val="ヒラギノ明朝 Pro W3"/>
      <family val="3"/>
      <charset val="128"/>
    </font>
    <font>
      <sz val="14"/>
      <color theme="1"/>
      <name val="ヒラギノ明朝 Pro W3"/>
      <charset val="128"/>
    </font>
    <font>
      <sz val="11"/>
      <color theme="1"/>
      <name val="ヒラギノ明朝 Pro W3"/>
      <charset val="128"/>
    </font>
    <font>
      <b/>
      <sz val="20"/>
      <color theme="1"/>
      <name val="HGS創英ﾌﾟﾚｾﾞﾝｽEB"/>
      <family val="1"/>
      <charset val="128"/>
    </font>
    <font>
      <b/>
      <sz val="20"/>
      <color theme="1"/>
      <name val="ＭＳ Ｐゴシック"/>
      <family val="2"/>
      <charset val="128"/>
      <scheme val="minor"/>
    </font>
    <font>
      <sz val="22"/>
      <color rgb="FF000000"/>
      <name val="HGS創英ﾌﾟﾚｾﾞﾝｽEB"/>
      <family val="1"/>
      <charset val="128"/>
    </font>
    <font>
      <sz val="22"/>
      <name val="HGS創英ﾌﾟﾚｾﾞﾝｽEB"/>
      <family val="1"/>
      <charset val="128"/>
    </font>
    <font>
      <sz val="22"/>
      <color rgb="FFFF0000"/>
      <name val="HGS創英ﾌﾟﾚｾﾞﾝｽEB"/>
      <family val="1"/>
      <charset val="128"/>
    </font>
    <font>
      <b/>
      <sz val="20"/>
      <color theme="1"/>
      <name val="HGS創英ﾌﾟﾚｾﾞﾝｽEB"/>
      <family val="1"/>
      <charset val="128"/>
    </font>
    <font>
      <b/>
      <sz val="18"/>
      <color theme="1"/>
      <name val="HGS創英ﾌﾟﾚｾﾞﾝｽEB"/>
      <family val="1"/>
      <charset val="128"/>
    </font>
    <font>
      <b/>
      <sz val="18"/>
      <color theme="1"/>
      <name val="ＭＳ Ｐゴシック"/>
      <family val="2"/>
      <charset val="128"/>
      <scheme val="minor"/>
    </font>
    <font>
      <b/>
      <sz val="18"/>
      <color theme="1"/>
      <name val="HGP創英ﾌﾟﾚｾﾞﾝｽEB"/>
      <family val="1"/>
      <charset val="128"/>
    </font>
    <font>
      <b/>
      <sz val="10"/>
      <color rgb="FF000000"/>
      <name val="Yu Gothic UI"/>
      <family val="3"/>
      <charset val="128"/>
    </font>
    <font>
      <sz val="10"/>
      <color rgb="FF000000"/>
      <name val="Yu Gothic UI"/>
      <family val="3"/>
      <charset val="128"/>
    </font>
    <font>
      <sz val="22"/>
      <color theme="1"/>
      <name val="HGS創英ﾌﾟﾚｾﾞﾝｽEB"/>
      <family val="1"/>
      <charset val="128"/>
    </font>
    <font>
      <u/>
      <sz val="22"/>
      <name val="HGS創英ﾌﾟﾚｾﾞﾝｽEB"/>
      <family val="1"/>
      <charset val="128"/>
    </font>
    <font>
      <u/>
      <sz val="22"/>
      <color rgb="FFFF0000"/>
      <name val="HGS創英ﾌﾟﾚｾﾞﾝｽEB"/>
      <family val="1"/>
      <charset val="128"/>
    </font>
    <font>
      <b/>
      <sz val="16"/>
      <name val="HGS創英ﾌﾟﾚｾﾞﾝｽEB"/>
      <family val="1"/>
      <charset val="128"/>
    </font>
    <font>
      <u/>
      <sz val="22"/>
      <color theme="1"/>
      <name val="HGS創英ﾌﾟﾚｾﾞﾝｽEB"/>
      <family val="1"/>
      <charset val="128"/>
    </font>
    <font>
      <u/>
      <sz val="20"/>
      <color rgb="FFFF0000"/>
      <name val="HGS創英ﾌﾟﾚｾﾞﾝｽEB"/>
      <family val="1"/>
      <charset val="128"/>
    </font>
    <font>
      <sz val="16"/>
      <color rgb="FFFF0000"/>
      <name val="AR P丸ゴシック体M"/>
      <family val="3"/>
      <charset val="128"/>
    </font>
    <font>
      <sz val="11"/>
      <color theme="1"/>
      <name val="メイリオ"/>
      <family val="2"/>
      <charset val="128"/>
    </font>
    <font>
      <sz val="10"/>
      <color theme="1"/>
      <name val="ヒラギノ明朝 Pro W3"/>
      <charset val="128"/>
    </font>
    <font>
      <sz val="14"/>
      <name val="ヒラギノ明朝 Pro W3"/>
      <charset val="128"/>
    </font>
    <font>
      <sz val="6"/>
      <color theme="0"/>
      <name val="HGS創英ﾌﾟﾚｾﾞﾝｽEB"/>
      <family val="1"/>
      <charset val="128"/>
    </font>
    <font>
      <sz val="11"/>
      <color theme="1"/>
      <name val="ヒラギノ角ゴシック W4"/>
      <family val="2"/>
      <charset val="128"/>
    </font>
    <font>
      <b/>
      <sz val="20"/>
      <color theme="1"/>
      <name val="ヒラギノ角ゴシック W4"/>
      <family val="2"/>
      <charset val="128"/>
    </font>
    <font>
      <b/>
      <sz val="10"/>
      <color theme="1"/>
      <name val="ヒラギノ角ゴシック W4"/>
      <family val="2"/>
      <charset val="128"/>
    </font>
    <font>
      <b/>
      <sz val="9"/>
      <color theme="1"/>
      <name val="ヒラギノ角ゴシック W4"/>
      <family val="2"/>
      <charset val="128"/>
    </font>
    <font>
      <sz val="16"/>
      <color theme="0"/>
      <name val="ヒラギノ角ゴシック W4"/>
      <family val="2"/>
      <charset val="128"/>
    </font>
    <font>
      <sz val="16"/>
      <color rgb="FFFF0000"/>
      <name val="ヒラギノ角ゴシック W4"/>
      <family val="2"/>
      <charset val="128"/>
    </font>
    <font>
      <sz val="16"/>
      <color theme="1"/>
      <name val="ヒラギノ角ゴシック W4"/>
      <family val="2"/>
      <charset val="128"/>
    </font>
    <font>
      <sz val="20"/>
      <color theme="1"/>
      <name val="ヒラギノ角ゴシック W4"/>
      <family val="2"/>
      <charset val="128"/>
    </font>
    <font>
      <sz val="22"/>
      <color theme="1"/>
      <name val="ヒラギノ角ゴシック W4"/>
      <family val="2"/>
      <charset val="128"/>
    </font>
    <font>
      <b/>
      <sz val="16"/>
      <color theme="1"/>
      <name val="ヒラギノ角ゴシック W4"/>
      <family val="2"/>
      <charset val="128"/>
    </font>
    <font>
      <sz val="16"/>
      <name val="ヒラギノ角ゴシック W4"/>
      <family val="2"/>
      <charset val="128"/>
    </font>
    <font>
      <sz val="14"/>
      <color theme="1"/>
      <name val="ヒラギノ角ゴシック W4"/>
      <family val="2"/>
      <charset val="128"/>
    </font>
    <font>
      <sz val="22"/>
      <name val="ヒラギノ角ゴシック W4"/>
      <family val="2"/>
      <charset val="128"/>
    </font>
    <font>
      <u/>
      <sz val="22"/>
      <name val="ヒラギノ角ゴシック W4"/>
      <family val="2"/>
      <charset val="128"/>
    </font>
    <font>
      <u/>
      <sz val="22"/>
      <color rgb="FFFF0000"/>
      <name val="ヒラギノ角ゴシック W4"/>
      <family val="2"/>
      <charset val="128"/>
    </font>
    <font>
      <sz val="22"/>
      <color rgb="FFFF0000"/>
      <name val="ヒラギノ角ゴシック W4"/>
      <family val="2"/>
      <charset val="128"/>
    </font>
    <font>
      <sz val="22"/>
      <color theme="0"/>
      <name val="ヒラギノ角ゴシック W4"/>
      <family val="2"/>
      <charset val="128"/>
    </font>
    <font>
      <sz val="20"/>
      <color theme="0"/>
      <name val="ヒラギノ角ゴシック W4"/>
      <family val="2"/>
      <charset val="128"/>
    </font>
    <font>
      <sz val="22"/>
      <color rgb="FF000000"/>
      <name val="ヒラギノ角ゴシック W4"/>
      <family val="2"/>
      <charset val="128"/>
    </font>
    <font>
      <sz val="16"/>
      <color rgb="FF000000"/>
      <name val="ヒラギノ角ゴシック W4"/>
      <family val="2"/>
      <charset val="128"/>
    </font>
    <font>
      <sz val="20"/>
      <color rgb="FF000000"/>
      <name val="ヒラギノ角ゴシック W4"/>
      <family val="2"/>
      <charset val="128"/>
    </font>
    <font>
      <u/>
      <sz val="22"/>
      <color theme="1"/>
      <name val="ヒラギノ角ゴシック W4"/>
      <family val="2"/>
      <charset val="128"/>
    </font>
    <font>
      <b/>
      <sz val="14"/>
      <color theme="1"/>
      <name val="ヒラギノ角ゴシック W4"/>
      <family val="2"/>
      <charset val="128"/>
    </font>
    <font>
      <b/>
      <sz val="14"/>
      <name val="ヒラギノ角ゴシック W4"/>
      <family val="2"/>
      <charset val="128"/>
    </font>
    <font>
      <sz val="18"/>
      <color theme="1"/>
      <name val="ヒラギノ角ゴシック W4"/>
      <family val="2"/>
      <charset val="128"/>
    </font>
    <font>
      <sz val="18"/>
      <color theme="0"/>
      <name val="ヒラギノ角ゴシック W4"/>
      <family val="2"/>
      <charset val="128"/>
    </font>
    <font>
      <b/>
      <u/>
      <sz val="14"/>
      <color theme="1"/>
      <name val="ヒラギノ角ゴシック W4"/>
      <family val="2"/>
      <charset val="128"/>
    </font>
    <font>
      <b/>
      <sz val="18"/>
      <color theme="1"/>
      <name val="ヒラギノ角ゴシック W4"/>
      <family val="2"/>
      <charset val="128"/>
    </font>
    <font>
      <sz val="14"/>
      <name val="ヒラギノ角ゴシック W4"/>
      <family val="2"/>
      <charset val="128"/>
    </font>
    <font>
      <sz val="10"/>
      <color theme="1"/>
      <name val="ヒラギノ角ゴシック W4"/>
      <family val="2"/>
      <charset val="128"/>
    </font>
    <font>
      <sz val="12"/>
      <name val="ヒラギノ角ゴシック W4"/>
      <family val="2"/>
      <charset val="128"/>
    </font>
    <font>
      <sz val="12"/>
      <color theme="1"/>
      <name val="ヒラギノ角ゴシック W4"/>
      <family val="2"/>
      <charset val="128"/>
    </font>
    <font>
      <b/>
      <sz val="12"/>
      <color theme="1"/>
      <name val="ヒラギノ角ゴシック W4"/>
      <family val="2"/>
      <charset val="128"/>
    </font>
    <font>
      <sz val="18"/>
      <color rgb="FFFF0000"/>
      <name val="ヒラギノ角ゴシック W4"/>
      <family val="2"/>
      <charset val="128"/>
    </font>
    <font>
      <b/>
      <sz val="10"/>
      <color rgb="FF000000"/>
      <name val="Yu Gothic UI"/>
    </font>
    <font>
      <sz val="22"/>
      <color theme="1"/>
      <name val="BIZ UDP明朝 Medium"/>
      <family val="1"/>
      <charset val="128"/>
    </font>
    <font>
      <sz val="22"/>
      <name val="BIZ UDP明朝 Medium"/>
      <family val="1"/>
      <charset val="128"/>
    </font>
    <font>
      <sz val="22"/>
      <color theme="0"/>
      <name val="BIZ UDP明朝 Medium"/>
      <family val="1"/>
      <charset val="128"/>
    </font>
    <font>
      <sz val="22"/>
      <color theme="0"/>
      <name val="ＭＳ Ｐ明朝"/>
      <family val="1"/>
      <charset val="128"/>
    </font>
    <font>
      <sz val="22"/>
      <color rgb="FFFF0000"/>
      <name val="BIZ UDP明朝 Medium"/>
      <family val="1"/>
      <charset val="128"/>
    </font>
    <font>
      <sz val="10"/>
      <color theme="1"/>
      <name val="メイリオ"/>
      <family val="2"/>
      <charset val="128"/>
    </font>
    <font>
      <sz val="10"/>
      <name val="メイリオ"/>
      <family val="2"/>
      <charset val="128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メイリオ"/>
      <family val="2"/>
      <charset val="128"/>
    </font>
    <font>
      <sz val="18"/>
      <color theme="1"/>
      <name val="メイリオ"/>
      <family val="2"/>
      <charset val="128"/>
    </font>
    <font>
      <sz val="22"/>
      <name val="BIZ UDMincho"/>
      <family val="1"/>
      <charset val="128"/>
    </font>
    <font>
      <u/>
      <sz val="22"/>
      <color rgb="FFFF0000"/>
      <name val="BIZ UDMincho"/>
      <family val="1"/>
      <charset val="128"/>
    </font>
    <font>
      <u/>
      <sz val="22"/>
      <name val="BIZ UDMincho"/>
      <family val="1"/>
      <charset val="128"/>
    </font>
    <font>
      <sz val="22"/>
      <color theme="0"/>
      <name val="BIZ UDMincho"/>
      <family val="1"/>
      <charset val="128"/>
    </font>
    <font>
      <sz val="22"/>
      <color rgb="FFFF0000"/>
      <name val="BIZ UDMincho"/>
      <family val="1"/>
      <charset val="128"/>
    </font>
    <font>
      <sz val="22"/>
      <color theme="1"/>
      <name val="BIZ UDMincho"/>
      <family val="1"/>
      <charset val="128"/>
    </font>
    <font>
      <sz val="14"/>
      <color rgb="FFFF0000"/>
      <name val="ヒラギノ角ゴシック W4"/>
      <family val="2"/>
      <charset val="128"/>
    </font>
    <font>
      <sz val="10"/>
      <color rgb="FF000000"/>
      <name val="Yu Gothic UI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66FF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0234FF"/>
        <bgColor indexed="64"/>
      </patternFill>
    </fill>
    <fill>
      <patternFill patternType="solid">
        <fgColor rgb="FFFFC000"/>
        <bgColor indexed="64"/>
      </patternFill>
    </fill>
  </fills>
  <borders count="6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4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4" fillId="2" borderId="1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2" borderId="1" xfId="0" applyFont="1" applyFill="1" applyBorder="1">
      <alignment vertical="center"/>
    </xf>
    <xf numFmtId="0" fontId="8" fillId="2" borderId="1" xfId="0" applyFont="1" applyFill="1" applyBorder="1" applyAlignment="1">
      <alignment vertical="top"/>
    </xf>
    <xf numFmtId="0" fontId="4" fillId="2" borderId="1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9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6" fillId="0" borderId="13" xfId="0" applyFont="1" applyBorder="1">
      <alignment vertical="center"/>
    </xf>
    <xf numFmtId="0" fontId="6" fillId="0" borderId="2" xfId="0" applyFont="1" applyBorder="1">
      <alignment vertical="center"/>
    </xf>
    <xf numFmtId="0" fontId="11" fillId="0" borderId="0" xfId="0" applyFont="1">
      <alignment vertical="center"/>
    </xf>
    <xf numFmtId="0" fontId="6" fillId="0" borderId="16" xfId="0" applyFont="1" applyBorder="1">
      <alignment vertical="center"/>
    </xf>
    <xf numFmtId="0" fontId="4" fillId="6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center" vertical="center"/>
    </xf>
    <xf numFmtId="0" fontId="12" fillId="0" borderId="3" xfId="0" applyFont="1" applyBorder="1">
      <alignment vertical="center"/>
    </xf>
    <xf numFmtId="0" fontId="11" fillId="0" borderId="16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16" xfId="0" applyFont="1" applyBorder="1">
      <alignment vertical="center"/>
    </xf>
    <xf numFmtId="0" fontId="4" fillId="2" borderId="16" xfId="0" applyFont="1" applyFill="1" applyBorder="1">
      <alignment vertical="center"/>
    </xf>
    <xf numFmtId="0" fontId="18" fillId="2" borderId="0" xfId="0" applyFont="1" applyFill="1">
      <alignment vertical="center"/>
    </xf>
    <xf numFmtId="0" fontId="16" fillId="2" borderId="0" xfId="0" applyFont="1" applyFill="1">
      <alignment vertical="center"/>
    </xf>
    <xf numFmtId="0" fontId="19" fillId="0" borderId="2" xfId="0" applyFont="1" applyBorder="1">
      <alignment vertical="center"/>
    </xf>
    <xf numFmtId="0" fontId="14" fillId="9" borderId="10" xfId="0" applyFont="1" applyFill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2" fillId="2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21" fillId="4" borderId="3" xfId="0" applyFont="1" applyFill="1" applyBorder="1" applyAlignment="1">
      <alignment horizontal="center" vertical="center"/>
    </xf>
    <xf numFmtId="0" fontId="21" fillId="5" borderId="3" xfId="0" applyFont="1" applyFill="1" applyBorder="1" applyAlignment="1">
      <alignment horizontal="center" vertical="center"/>
    </xf>
    <xf numFmtId="0" fontId="21" fillId="11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0" xfId="0" applyFont="1">
      <alignment vertical="center"/>
    </xf>
    <xf numFmtId="0" fontId="4" fillId="0" borderId="29" xfId="0" applyFont="1" applyBorder="1">
      <alignment vertical="center"/>
    </xf>
    <xf numFmtId="0" fontId="4" fillId="2" borderId="29" xfId="0" applyFont="1" applyFill="1" applyBorder="1">
      <alignment vertical="center"/>
    </xf>
    <xf numFmtId="0" fontId="10" fillId="2" borderId="29" xfId="0" applyFont="1" applyFill="1" applyBorder="1">
      <alignment vertical="center"/>
    </xf>
    <xf numFmtId="0" fontId="4" fillId="0" borderId="30" xfId="0" applyFont="1" applyBorder="1">
      <alignment vertical="center"/>
    </xf>
    <xf numFmtId="0" fontId="15" fillId="0" borderId="31" xfId="0" applyFont="1" applyBorder="1">
      <alignment vertical="center"/>
    </xf>
    <xf numFmtId="0" fontId="21" fillId="11" borderId="34" xfId="0" applyFont="1" applyFill="1" applyBorder="1" applyAlignment="1">
      <alignment horizontal="center" vertical="center"/>
    </xf>
    <xf numFmtId="0" fontId="24" fillId="0" borderId="33" xfId="0" applyFont="1" applyBorder="1">
      <alignment vertical="center"/>
    </xf>
    <xf numFmtId="0" fontId="16" fillId="0" borderId="32" xfId="0" applyFont="1" applyBorder="1">
      <alignment vertical="center"/>
    </xf>
    <xf numFmtId="0" fontId="24" fillId="0" borderId="35" xfId="0" applyFont="1" applyBorder="1">
      <alignment vertical="center"/>
    </xf>
    <xf numFmtId="0" fontId="16" fillId="0" borderId="34" xfId="0" applyFont="1" applyBorder="1">
      <alignment vertical="center"/>
    </xf>
    <xf numFmtId="0" fontId="4" fillId="0" borderId="0" xfId="0" applyFont="1">
      <alignment vertical="center"/>
    </xf>
    <xf numFmtId="0" fontId="6" fillId="2" borderId="0" xfId="0" applyFont="1" applyFill="1">
      <alignment vertical="center"/>
    </xf>
    <xf numFmtId="0" fontId="17" fillId="2" borderId="0" xfId="0" applyFont="1" applyFill="1">
      <alignment vertical="center"/>
    </xf>
    <xf numFmtId="20" fontId="18" fillId="2" borderId="0" xfId="0" applyNumberFormat="1" applyFont="1" applyFill="1">
      <alignment vertical="center"/>
    </xf>
    <xf numFmtId="0" fontId="4" fillId="0" borderId="20" xfId="0" applyFont="1" applyBorder="1">
      <alignment vertical="center"/>
    </xf>
    <xf numFmtId="0" fontId="24" fillId="0" borderId="0" xfId="0" applyFont="1">
      <alignment vertical="center"/>
    </xf>
    <xf numFmtId="0" fontId="10" fillId="2" borderId="0" xfId="0" applyFont="1" applyFill="1">
      <alignment vertical="center"/>
    </xf>
    <xf numFmtId="0" fontId="26" fillId="0" borderId="0" xfId="0" applyFont="1">
      <alignment vertical="center"/>
    </xf>
    <xf numFmtId="0" fontId="28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33" fillId="0" borderId="10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/>
    </xf>
    <xf numFmtId="0" fontId="33" fillId="0" borderId="34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3" fillId="0" borderId="23" xfId="0" applyFont="1" applyBorder="1" applyAlignment="1">
      <alignment horizontal="center" vertical="center"/>
    </xf>
    <xf numFmtId="0" fontId="33" fillId="0" borderId="8" xfId="0" applyFont="1" applyBorder="1" applyAlignment="1">
      <alignment horizontal="center" vertical="center"/>
    </xf>
    <xf numFmtId="0" fontId="34" fillId="0" borderId="3" xfId="0" applyFont="1" applyBorder="1" applyAlignment="1">
      <alignment horizontal="center" vertical="center"/>
    </xf>
    <xf numFmtId="0" fontId="33" fillId="0" borderId="8" xfId="0" applyFont="1" applyBorder="1">
      <alignment vertical="center"/>
    </xf>
    <xf numFmtId="0" fontId="32" fillId="2" borderId="8" xfId="0" applyFont="1" applyFill="1" applyBorder="1" applyAlignment="1">
      <alignment horizontal="center" vertical="center"/>
    </xf>
    <xf numFmtId="0" fontId="32" fillId="2" borderId="9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35" fillId="0" borderId="21" xfId="0" applyFont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0" fontId="21" fillId="5" borderId="37" xfId="0" applyFont="1" applyFill="1" applyBorder="1" applyAlignment="1">
      <alignment horizontal="center" vertical="center"/>
    </xf>
    <xf numFmtId="0" fontId="35" fillId="0" borderId="1" xfId="0" applyFont="1" applyBorder="1">
      <alignment vertical="center"/>
    </xf>
    <xf numFmtId="177" fontId="3" fillId="2" borderId="14" xfId="0" applyNumberFormat="1" applyFont="1" applyFill="1" applyBorder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center"/>
    </xf>
    <xf numFmtId="0" fontId="21" fillId="13" borderId="37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24" fillId="0" borderId="34" xfId="0" applyFont="1" applyBorder="1">
      <alignment vertical="center"/>
    </xf>
    <xf numFmtId="0" fontId="10" fillId="0" borderId="29" xfId="0" applyFont="1" applyBorder="1">
      <alignment vertical="center"/>
    </xf>
    <xf numFmtId="0" fontId="4" fillId="0" borderId="11" xfId="0" applyFont="1" applyBorder="1" applyAlignment="1">
      <alignment horizontal="center" vertical="center"/>
    </xf>
    <xf numFmtId="0" fontId="41" fillId="0" borderId="3" xfId="0" applyFont="1" applyBorder="1" applyAlignment="1">
      <alignment horizontal="center" vertical="center"/>
    </xf>
    <xf numFmtId="0" fontId="42" fillId="0" borderId="3" xfId="0" applyFont="1" applyBorder="1" applyAlignment="1">
      <alignment horizontal="center" vertical="center"/>
    </xf>
    <xf numFmtId="0" fontId="43" fillId="0" borderId="3" xfId="0" applyFont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3" fillId="0" borderId="34" xfId="0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177" fontId="3" fillId="0" borderId="4" xfId="0" applyNumberFormat="1" applyFont="1" applyBorder="1" applyAlignment="1">
      <alignment horizontal="center" vertical="center"/>
    </xf>
    <xf numFmtId="177" fontId="44" fillId="0" borderId="4" xfId="0" applyNumberFormat="1" applyFont="1" applyBorder="1" applyAlignment="1">
      <alignment horizontal="center" vertical="center"/>
    </xf>
    <xf numFmtId="0" fontId="41" fillId="0" borderId="8" xfId="0" applyFont="1" applyBorder="1" applyAlignment="1">
      <alignment horizontal="center" vertical="center"/>
    </xf>
    <xf numFmtId="0" fontId="14" fillId="2" borderId="38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7" fillId="0" borderId="0" xfId="0" applyFont="1">
      <alignment vertical="center"/>
    </xf>
    <xf numFmtId="0" fontId="33" fillId="0" borderId="24" xfId="0" applyFont="1" applyBorder="1" applyAlignment="1">
      <alignment horizontal="center" vertical="center"/>
    </xf>
    <xf numFmtId="0" fontId="24" fillId="0" borderId="40" xfId="0" applyFont="1" applyBorder="1">
      <alignment vertical="center"/>
    </xf>
    <xf numFmtId="0" fontId="24" fillId="0" borderId="41" xfId="0" applyFont="1" applyBorder="1">
      <alignment vertical="center"/>
    </xf>
    <xf numFmtId="0" fontId="24" fillId="0" borderId="36" xfId="0" applyFont="1" applyBorder="1">
      <alignment vertical="center"/>
    </xf>
    <xf numFmtId="0" fontId="16" fillId="0" borderId="41" xfId="0" applyFont="1" applyBorder="1">
      <alignment vertical="center"/>
    </xf>
    <xf numFmtId="0" fontId="16" fillId="0" borderId="1" xfId="0" applyFont="1" applyBorder="1">
      <alignment vertical="center"/>
    </xf>
    <xf numFmtId="0" fontId="24" fillId="0" borderId="19" xfId="0" applyFont="1" applyBorder="1">
      <alignment vertical="center"/>
    </xf>
    <xf numFmtId="0" fontId="4" fillId="0" borderId="42" xfId="0" applyFont="1" applyBorder="1">
      <alignment vertical="center"/>
    </xf>
    <xf numFmtId="0" fontId="33" fillId="0" borderId="43" xfId="0" applyFont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0" fontId="14" fillId="2" borderId="10" xfId="0" applyFont="1" applyFill="1" applyBorder="1" applyAlignment="1">
      <alignment horizontal="center" vertical="center"/>
    </xf>
    <xf numFmtId="0" fontId="46" fillId="2" borderId="3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177" fontId="44" fillId="0" borderId="7" xfId="0" applyNumberFormat="1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48" fillId="0" borderId="0" xfId="0" applyFont="1">
      <alignment vertical="center"/>
    </xf>
    <xf numFmtId="0" fontId="43" fillId="0" borderId="20" xfId="0" applyFont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shrinkToFi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0" fontId="6" fillId="0" borderId="51" xfId="0" applyFont="1" applyBorder="1">
      <alignment vertical="center"/>
    </xf>
    <xf numFmtId="0" fontId="52" fillId="0" borderId="0" xfId="0" applyFont="1">
      <alignment vertical="center"/>
    </xf>
    <xf numFmtId="0" fontId="53" fillId="0" borderId="0" xfId="0" applyFont="1" applyAlignment="1">
      <alignment horizontal="left" vertical="center"/>
    </xf>
    <xf numFmtId="0" fontId="53" fillId="0" borderId="0" xfId="0" applyFont="1" applyAlignment="1">
      <alignment horizontal="center" vertical="center"/>
    </xf>
    <xf numFmtId="0" fontId="54" fillId="0" borderId="0" xfId="0" applyFont="1" applyAlignment="1">
      <alignment vertical="center" wrapText="1"/>
    </xf>
    <xf numFmtId="0" fontId="55" fillId="0" borderId="0" xfId="0" applyFont="1" applyAlignment="1">
      <alignment vertical="center" wrapText="1"/>
    </xf>
    <xf numFmtId="0" fontId="52" fillId="0" borderId="0" xfId="0" applyFont="1" applyAlignment="1">
      <alignment horizontal="center" vertical="center"/>
    </xf>
    <xf numFmtId="0" fontId="56" fillId="2" borderId="1" xfId="0" applyFont="1" applyFill="1" applyBorder="1">
      <alignment vertical="center"/>
    </xf>
    <xf numFmtId="0" fontId="57" fillId="2" borderId="1" xfId="0" applyFont="1" applyFill="1" applyBorder="1" applyAlignment="1">
      <alignment vertical="top"/>
    </xf>
    <xf numFmtId="0" fontId="58" fillId="2" borderId="1" xfId="0" applyFont="1" applyFill="1" applyBorder="1">
      <alignment vertical="center"/>
    </xf>
    <xf numFmtId="0" fontId="59" fillId="2" borderId="1" xfId="0" applyFont="1" applyFill="1" applyBorder="1">
      <alignment vertical="center"/>
    </xf>
    <xf numFmtId="0" fontId="59" fillId="0" borderId="1" xfId="0" applyFont="1" applyBorder="1">
      <alignment vertical="center"/>
    </xf>
    <xf numFmtId="0" fontId="55" fillId="0" borderId="1" xfId="0" applyFont="1" applyBorder="1" applyAlignment="1">
      <alignment vertical="center" wrapText="1"/>
    </xf>
    <xf numFmtId="0" fontId="52" fillId="0" borderId="1" xfId="0" applyFont="1" applyBorder="1">
      <alignment vertical="center"/>
    </xf>
    <xf numFmtId="0" fontId="58" fillId="2" borderId="11" xfId="0" applyFont="1" applyFill="1" applyBorder="1" applyAlignment="1">
      <alignment horizontal="center" vertical="center"/>
    </xf>
    <xf numFmtId="0" fontId="62" fillId="0" borderId="22" xfId="0" applyFont="1" applyBorder="1" applyAlignment="1">
      <alignment horizontal="center" vertical="center"/>
    </xf>
    <xf numFmtId="0" fontId="58" fillId="0" borderId="11" xfId="0" applyFont="1" applyBorder="1" applyAlignment="1">
      <alignment horizontal="center" vertical="center"/>
    </xf>
    <xf numFmtId="0" fontId="58" fillId="8" borderId="11" xfId="0" applyFont="1" applyFill="1" applyBorder="1" applyAlignment="1">
      <alignment horizontal="center" vertical="center"/>
    </xf>
    <xf numFmtId="0" fontId="58" fillId="2" borderId="50" xfId="0" applyFont="1" applyFill="1" applyBorder="1" applyAlignment="1">
      <alignment horizontal="center" vertical="center"/>
    </xf>
    <xf numFmtId="0" fontId="58" fillId="0" borderId="47" xfId="0" applyFont="1" applyBorder="1" applyAlignment="1">
      <alignment horizontal="center" vertical="center"/>
    </xf>
    <xf numFmtId="0" fontId="63" fillId="0" borderId="33" xfId="0" applyFont="1" applyBorder="1">
      <alignment vertical="center"/>
    </xf>
    <xf numFmtId="0" fontId="58" fillId="0" borderId="30" xfId="0" applyFont="1" applyBorder="1">
      <alignment vertical="center"/>
    </xf>
    <xf numFmtId="0" fontId="64" fillId="2" borderId="3" xfId="0" applyFont="1" applyFill="1" applyBorder="1" applyAlignment="1">
      <alignment horizontal="center" vertical="center"/>
    </xf>
    <xf numFmtId="0" fontId="64" fillId="2" borderId="17" xfId="0" applyFont="1" applyFill="1" applyBorder="1" applyAlignment="1">
      <alignment horizontal="center" vertical="center"/>
    </xf>
    <xf numFmtId="0" fontId="63" fillId="0" borderId="34" xfId="0" applyFont="1" applyBorder="1">
      <alignment vertical="center"/>
    </xf>
    <xf numFmtId="0" fontId="58" fillId="0" borderId="29" xfId="0" applyFont="1" applyBorder="1">
      <alignment vertical="center"/>
    </xf>
    <xf numFmtId="0" fontId="64" fillId="2" borderId="8" xfId="0" applyFont="1" applyFill="1" applyBorder="1" applyAlignment="1">
      <alignment horizontal="center" vertical="center"/>
    </xf>
    <xf numFmtId="0" fontId="64" fillId="2" borderId="23" xfId="0" applyFont="1" applyFill="1" applyBorder="1" applyAlignment="1">
      <alignment horizontal="center" vertical="center"/>
    </xf>
    <xf numFmtId="0" fontId="66" fillId="2" borderId="3" xfId="0" applyFont="1" applyFill="1" applyBorder="1" applyAlignment="1">
      <alignment horizontal="center" vertical="center"/>
    </xf>
    <xf numFmtId="0" fontId="60" fillId="2" borderId="8" xfId="0" applyFont="1" applyFill="1" applyBorder="1" applyAlignment="1">
      <alignment horizontal="center" vertical="center"/>
    </xf>
    <xf numFmtId="0" fontId="65" fillId="2" borderId="3" xfId="0" applyFont="1" applyFill="1" applyBorder="1" applyAlignment="1">
      <alignment horizontal="center" vertical="center"/>
    </xf>
    <xf numFmtId="0" fontId="65" fillId="2" borderId="8" xfId="0" applyFont="1" applyFill="1" applyBorder="1" applyAlignment="1">
      <alignment horizontal="center" vertical="center"/>
    </xf>
    <xf numFmtId="0" fontId="62" fillId="0" borderId="29" xfId="0" applyFont="1" applyBorder="1">
      <alignment vertical="center"/>
    </xf>
    <xf numFmtId="0" fontId="67" fillId="2" borderId="3" xfId="0" applyFont="1" applyFill="1" applyBorder="1" applyAlignment="1">
      <alignment horizontal="center" vertical="center"/>
    </xf>
    <xf numFmtId="0" fontId="63" fillId="0" borderId="35" xfId="0" applyFont="1" applyBorder="1">
      <alignment vertical="center"/>
    </xf>
    <xf numFmtId="0" fontId="58" fillId="2" borderId="29" xfId="0" applyFont="1" applyFill="1" applyBorder="1">
      <alignment vertical="center"/>
    </xf>
    <xf numFmtId="0" fontId="62" fillId="2" borderId="29" xfId="0" applyFont="1" applyFill="1" applyBorder="1">
      <alignment vertical="center"/>
    </xf>
    <xf numFmtId="0" fontId="63" fillId="0" borderId="32" xfId="0" applyFont="1" applyBorder="1">
      <alignment vertical="center"/>
    </xf>
    <xf numFmtId="0" fontId="71" fillId="0" borderId="31" xfId="0" applyFont="1" applyBorder="1">
      <alignment vertical="center"/>
    </xf>
    <xf numFmtId="0" fontId="64" fillId="2" borderId="9" xfId="0" applyFont="1" applyFill="1" applyBorder="1" applyAlignment="1">
      <alignment horizontal="center" vertical="center"/>
    </xf>
    <xf numFmtId="177" fontId="74" fillId="2" borderId="45" xfId="0" applyNumberFormat="1" applyFont="1" applyFill="1" applyBorder="1" applyAlignment="1">
      <alignment horizontal="center" vertical="center"/>
    </xf>
    <xf numFmtId="177" fontId="74" fillId="2" borderId="4" xfId="0" applyNumberFormat="1" applyFont="1" applyFill="1" applyBorder="1" applyAlignment="1">
      <alignment horizontal="center" vertical="center"/>
    </xf>
    <xf numFmtId="177" fontId="74" fillId="0" borderId="4" xfId="0" applyNumberFormat="1" applyFont="1" applyBorder="1" applyAlignment="1">
      <alignment horizontal="center" vertical="center"/>
    </xf>
    <xf numFmtId="177" fontId="75" fillId="0" borderId="4" xfId="0" applyNumberFormat="1" applyFont="1" applyBorder="1" applyAlignment="1">
      <alignment horizontal="center" vertical="center"/>
    </xf>
    <xf numFmtId="177" fontId="74" fillId="0" borderId="45" xfId="0" applyNumberFormat="1" applyFont="1" applyBorder="1" applyAlignment="1">
      <alignment horizontal="center" vertical="center"/>
    </xf>
    <xf numFmtId="177" fontId="75" fillId="0" borderId="7" xfId="0" applyNumberFormat="1" applyFont="1" applyBorder="1" applyAlignment="1">
      <alignment horizontal="center" vertical="center"/>
    </xf>
    <xf numFmtId="0" fontId="52" fillId="2" borderId="0" xfId="0" applyFont="1" applyFill="1">
      <alignment vertical="center"/>
    </xf>
    <xf numFmtId="0" fontId="57" fillId="0" borderId="0" xfId="0" applyFont="1">
      <alignment vertical="center"/>
    </xf>
    <xf numFmtId="0" fontId="76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 wrapText="1"/>
    </xf>
    <xf numFmtId="0" fontId="53" fillId="0" borderId="1" xfId="0" applyFont="1" applyBorder="1">
      <alignment vertical="center"/>
    </xf>
    <xf numFmtId="0" fontId="52" fillId="0" borderId="51" xfId="0" applyFont="1" applyBorder="1">
      <alignment vertical="center"/>
    </xf>
    <xf numFmtId="0" fontId="52" fillId="0" borderId="2" xfId="0" applyFont="1" applyBorder="1">
      <alignment vertical="center"/>
    </xf>
    <xf numFmtId="0" fontId="52" fillId="0" borderId="13" xfId="0" applyFont="1" applyBorder="1">
      <alignment vertical="center"/>
    </xf>
    <xf numFmtId="0" fontId="60" fillId="0" borderId="0" xfId="0" applyFont="1">
      <alignment vertical="center"/>
    </xf>
    <xf numFmtId="0" fontId="59" fillId="0" borderId="2" xfId="0" applyFont="1" applyBorder="1">
      <alignment vertical="center"/>
    </xf>
    <xf numFmtId="0" fontId="58" fillId="2" borderId="12" xfId="0" applyFont="1" applyFill="1" applyBorder="1" applyAlignment="1">
      <alignment horizontal="center" vertical="center"/>
    </xf>
    <xf numFmtId="0" fontId="52" fillId="0" borderId="16" xfId="0" applyFont="1" applyBorder="1">
      <alignment vertical="center"/>
    </xf>
    <xf numFmtId="0" fontId="56" fillId="8" borderId="3" xfId="0" applyFont="1" applyFill="1" applyBorder="1" applyAlignment="1">
      <alignment horizontal="center" vertical="center"/>
    </xf>
    <xf numFmtId="0" fontId="76" fillId="3" borderId="3" xfId="0" applyFont="1" applyFill="1" applyBorder="1" applyAlignment="1">
      <alignment horizontal="center" vertical="center"/>
    </xf>
    <xf numFmtId="0" fontId="77" fillId="12" borderId="3" xfId="0" applyFont="1" applyFill="1" applyBorder="1" applyAlignment="1">
      <alignment horizontal="center" vertical="center"/>
    </xf>
    <xf numFmtId="0" fontId="76" fillId="4" borderId="3" xfId="0" applyFont="1" applyFill="1" applyBorder="1" applyAlignment="1">
      <alignment horizontal="center" vertical="center"/>
    </xf>
    <xf numFmtId="0" fontId="76" fillId="0" borderId="3" xfId="0" applyFont="1" applyBorder="1" applyAlignment="1">
      <alignment horizontal="center" vertical="center"/>
    </xf>
    <xf numFmtId="0" fontId="69" fillId="9" borderId="3" xfId="0" applyFont="1" applyFill="1" applyBorder="1" applyAlignment="1">
      <alignment horizontal="center" vertical="center"/>
    </xf>
    <xf numFmtId="0" fontId="68" fillId="10" borderId="3" xfId="0" applyFont="1" applyFill="1" applyBorder="1" applyAlignment="1">
      <alignment horizontal="center" vertical="center"/>
    </xf>
    <xf numFmtId="0" fontId="58" fillId="6" borderId="3" xfId="0" applyFont="1" applyFill="1" applyBorder="1" applyAlignment="1">
      <alignment horizontal="center" vertical="center"/>
    </xf>
    <xf numFmtId="0" fontId="76" fillId="5" borderId="3" xfId="0" applyFont="1" applyFill="1" applyBorder="1" applyAlignment="1">
      <alignment horizontal="center" vertical="center"/>
    </xf>
    <xf numFmtId="0" fontId="76" fillId="0" borderId="3" xfId="0" applyFont="1" applyBorder="1">
      <alignment vertical="center"/>
    </xf>
    <xf numFmtId="0" fontId="52" fillId="0" borderId="21" xfId="0" applyFont="1" applyBorder="1" applyAlignment="1">
      <alignment horizontal="center" vertical="center" wrapText="1"/>
    </xf>
    <xf numFmtId="0" fontId="59" fillId="0" borderId="0" xfId="0" applyFont="1">
      <alignment vertical="center"/>
    </xf>
    <xf numFmtId="0" fontId="63" fillId="0" borderId="40" xfId="0" applyFont="1" applyBorder="1">
      <alignment vertical="center"/>
    </xf>
    <xf numFmtId="0" fontId="64" fillId="2" borderId="10" xfId="0" applyFont="1" applyFill="1" applyBorder="1" applyAlignment="1">
      <alignment horizontal="center" vertical="center"/>
    </xf>
    <xf numFmtId="0" fontId="64" fillId="2" borderId="5" xfId="0" applyFont="1" applyFill="1" applyBorder="1" applyAlignment="1">
      <alignment horizontal="center" vertical="center"/>
    </xf>
    <xf numFmtId="0" fontId="60" fillId="0" borderId="16" xfId="0" applyFont="1" applyBorder="1">
      <alignment vertical="center"/>
    </xf>
    <xf numFmtId="0" fontId="58" fillId="0" borderId="20" xfId="0" applyFont="1" applyBorder="1">
      <alignment vertical="center"/>
    </xf>
    <xf numFmtId="0" fontId="58" fillId="0" borderId="3" xfId="0" applyFont="1" applyBorder="1">
      <alignment vertical="center"/>
    </xf>
    <xf numFmtId="0" fontId="53" fillId="0" borderId="21" xfId="0" applyFont="1" applyBorder="1" applyAlignment="1">
      <alignment horizontal="center" vertical="center"/>
    </xf>
    <xf numFmtId="0" fontId="63" fillId="0" borderId="19" xfId="0" applyFont="1" applyBorder="1">
      <alignment vertical="center"/>
    </xf>
    <xf numFmtId="0" fontId="58" fillId="0" borderId="42" xfId="0" applyFont="1" applyBorder="1">
      <alignment vertical="center"/>
    </xf>
    <xf numFmtId="0" fontId="64" fillId="2" borderId="34" xfId="0" applyFont="1" applyFill="1" applyBorder="1" applyAlignment="1">
      <alignment horizontal="center" vertical="center"/>
    </xf>
    <xf numFmtId="0" fontId="64" fillId="2" borderId="43" xfId="0" applyFont="1" applyFill="1" applyBorder="1" applyAlignment="1">
      <alignment horizontal="center" vertical="center"/>
    </xf>
    <xf numFmtId="0" fontId="63" fillId="0" borderId="41" xfId="0" applyFont="1" applyBorder="1">
      <alignment vertical="center"/>
    </xf>
    <xf numFmtId="0" fontId="60" fillId="2" borderId="3" xfId="0" applyFont="1" applyFill="1" applyBorder="1" applyAlignment="1">
      <alignment horizontal="center" vertical="center"/>
    </xf>
    <xf numFmtId="0" fontId="66" fillId="2" borderId="34" xfId="0" applyFont="1" applyFill="1" applyBorder="1" applyAlignment="1">
      <alignment horizontal="center" vertical="center"/>
    </xf>
    <xf numFmtId="0" fontId="66" fillId="2" borderId="20" xfId="0" applyFont="1" applyFill="1" applyBorder="1" applyAlignment="1">
      <alignment horizontal="center" vertical="center"/>
    </xf>
    <xf numFmtId="0" fontId="66" fillId="2" borderId="23" xfId="0" applyFont="1" applyFill="1" applyBorder="1" applyAlignment="1">
      <alignment horizontal="center" vertical="center"/>
    </xf>
    <xf numFmtId="0" fontId="60" fillId="2" borderId="34" xfId="0" applyFont="1" applyFill="1" applyBorder="1" applyAlignment="1">
      <alignment horizontal="center" vertical="center"/>
    </xf>
    <xf numFmtId="0" fontId="73" fillId="2" borderId="3" xfId="0" applyFont="1" applyFill="1" applyBorder="1" applyAlignment="1">
      <alignment horizontal="center" vertical="center"/>
    </xf>
    <xf numFmtId="0" fontId="66" fillId="2" borderId="8" xfId="0" applyFont="1" applyFill="1" applyBorder="1" applyAlignment="1">
      <alignment horizontal="center" vertical="center"/>
    </xf>
    <xf numFmtId="0" fontId="65" fillId="2" borderId="34" xfId="0" applyFont="1" applyFill="1" applyBorder="1" applyAlignment="1">
      <alignment horizontal="center" vertical="center"/>
    </xf>
    <xf numFmtId="0" fontId="63" fillId="0" borderId="36" xfId="0" applyFont="1" applyBorder="1">
      <alignment vertical="center"/>
    </xf>
    <xf numFmtId="0" fontId="64" fillId="2" borderId="24" xfId="0" applyFont="1" applyFill="1" applyBorder="1" applyAlignment="1">
      <alignment horizontal="center" vertical="center"/>
    </xf>
    <xf numFmtId="0" fontId="69" fillId="2" borderId="10" xfId="0" applyFont="1" applyFill="1" applyBorder="1" applyAlignment="1">
      <alignment horizontal="center" vertical="center"/>
    </xf>
    <xf numFmtId="0" fontId="69" fillId="2" borderId="38" xfId="0" applyFont="1" applyFill="1" applyBorder="1" applyAlignment="1">
      <alignment horizontal="center" vertical="center"/>
    </xf>
    <xf numFmtId="0" fontId="69" fillId="2" borderId="5" xfId="0" applyFont="1" applyFill="1" applyBorder="1" applyAlignment="1">
      <alignment horizontal="center" vertical="center"/>
    </xf>
    <xf numFmtId="0" fontId="58" fillId="0" borderId="16" xfId="0" applyFont="1" applyBorder="1">
      <alignment vertical="center"/>
    </xf>
    <xf numFmtId="0" fontId="69" fillId="2" borderId="3" xfId="0" applyFont="1" applyFill="1" applyBorder="1" applyAlignment="1">
      <alignment horizontal="center" vertical="center"/>
    </xf>
    <xf numFmtId="0" fontId="69" fillId="2" borderId="8" xfId="0" applyFont="1" applyFill="1" applyBorder="1" applyAlignment="1">
      <alignment horizontal="center" vertical="center"/>
    </xf>
    <xf numFmtId="0" fontId="69" fillId="2" borderId="15" xfId="0" applyFont="1" applyFill="1" applyBorder="1" applyAlignment="1">
      <alignment horizontal="center" vertical="center"/>
    </xf>
    <xf numFmtId="0" fontId="70" fillId="2" borderId="8" xfId="0" applyFont="1" applyFill="1" applyBorder="1" applyAlignment="1">
      <alignment horizontal="center" vertical="center"/>
    </xf>
    <xf numFmtId="0" fontId="58" fillId="2" borderId="16" xfId="0" applyFont="1" applyFill="1" applyBorder="1">
      <alignment vertical="center"/>
    </xf>
    <xf numFmtId="0" fontId="68" fillId="2" borderId="15" xfId="0" applyFont="1" applyFill="1" applyBorder="1" applyAlignment="1">
      <alignment horizontal="center" vertical="center"/>
    </xf>
    <xf numFmtId="0" fontId="70" fillId="2" borderId="3" xfId="0" applyFont="1" applyFill="1" applyBorder="1" applyAlignment="1">
      <alignment horizontal="center" vertical="center"/>
    </xf>
    <xf numFmtId="0" fontId="68" fillId="2" borderId="3" xfId="0" applyFont="1" applyFill="1" applyBorder="1" applyAlignment="1">
      <alignment horizontal="center" vertical="center"/>
    </xf>
    <xf numFmtId="0" fontId="69" fillId="2" borderId="23" xfId="0" applyFont="1" applyFill="1" applyBorder="1" applyAlignment="1">
      <alignment horizontal="center" vertical="center"/>
    </xf>
    <xf numFmtId="0" fontId="70" fillId="2" borderId="15" xfId="0" applyFont="1" applyFill="1" applyBorder="1" applyAlignment="1">
      <alignment horizontal="center" vertical="center"/>
    </xf>
    <xf numFmtId="0" fontId="63" fillId="0" borderId="1" xfId="0" applyFont="1" applyBorder="1">
      <alignment vertical="center"/>
    </xf>
    <xf numFmtId="0" fontId="69" fillId="2" borderId="18" xfId="0" applyFont="1" applyFill="1" applyBorder="1" applyAlignment="1">
      <alignment horizontal="center" vertical="center"/>
    </xf>
    <xf numFmtId="0" fontId="72" fillId="2" borderId="6" xfId="0" applyFont="1" applyFill="1" applyBorder="1" applyAlignment="1">
      <alignment horizontal="center" vertical="center"/>
    </xf>
    <xf numFmtId="0" fontId="70" fillId="2" borderId="9" xfId="0" applyFont="1" applyFill="1" applyBorder="1" applyAlignment="1">
      <alignment horizontal="center" vertical="center"/>
    </xf>
    <xf numFmtId="0" fontId="63" fillId="2" borderId="0" xfId="0" applyFont="1" applyFill="1">
      <alignment vertical="center"/>
    </xf>
    <xf numFmtId="0" fontId="78" fillId="2" borderId="0" xfId="0" applyFont="1" applyFill="1">
      <alignment vertical="center"/>
    </xf>
    <xf numFmtId="0" fontId="74" fillId="2" borderId="0" xfId="0" applyFont="1" applyFill="1">
      <alignment vertical="center"/>
    </xf>
    <xf numFmtId="20" fontId="74" fillId="2" borderId="0" xfId="0" applyNumberFormat="1" applyFont="1" applyFill="1">
      <alignment vertical="center"/>
    </xf>
    <xf numFmtId="0" fontId="58" fillId="0" borderId="0" xfId="0" applyFont="1">
      <alignment vertical="center"/>
    </xf>
    <xf numFmtId="0" fontId="63" fillId="0" borderId="0" xfId="0" applyFont="1">
      <alignment vertical="center"/>
    </xf>
    <xf numFmtId="0" fontId="62" fillId="2" borderId="0" xfId="0" applyFont="1" applyFill="1">
      <alignment vertical="center"/>
    </xf>
    <xf numFmtId="0" fontId="52" fillId="0" borderId="0" xfId="0" applyFont="1" applyAlignment="1">
      <alignment horizontal="center" vertical="center" wrapText="1"/>
    </xf>
    <xf numFmtId="0" fontId="81" fillId="0" borderId="0" xfId="0" applyFont="1" applyAlignment="1">
      <alignment horizontal="center" vertical="center" shrinkToFit="1"/>
    </xf>
    <xf numFmtId="177" fontId="74" fillId="2" borderId="14" xfId="0" applyNumberFormat="1" applyFont="1" applyFill="1" applyBorder="1" applyAlignment="1">
      <alignment horizontal="center" vertical="center"/>
    </xf>
    <xf numFmtId="0" fontId="80" fillId="0" borderId="17" xfId="0" applyFont="1" applyBorder="1">
      <alignment vertical="center"/>
    </xf>
    <xf numFmtId="0" fontId="80" fillId="0" borderId="0" xfId="0" applyFont="1">
      <alignment vertical="center"/>
    </xf>
    <xf numFmtId="0" fontId="80" fillId="0" borderId="8" xfId="0" applyFont="1" applyBorder="1">
      <alignment vertical="center"/>
    </xf>
    <xf numFmtId="0" fontId="58" fillId="2" borderId="0" xfId="0" applyFont="1" applyFill="1" applyAlignment="1">
      <alignment horizontal="left" vertical="center"/>
    </xf>
    <xf numFmtId="0" fontId="63" fillId="0" borderId="8" xfId="0" applyFont="1" applyBorder="1">
      <alignment vertical="center"/>
    </xf>
    <xf numFmtId="0" fontId="80" fillId="0" borderId="9" xfId="0" applyFont="1" applyBorder="1">
      <alignment vertical="center"/>
    </xf>
    <xf numFmtId="0" fontId="82" fillId="0" borderId="0" xfId="0" applyFont="1">
      <alignment vertical="center"/>
    </xf>
    <xf numFmtId="0" fontId="83" fillId="0" borderId="0" xfId="0" applyFont="1">
      <alignment vertical="center"/>
    </xf>
    <xf numFmtId="0" fontId="58" fillId="0" borderId="41" xfId="0" applyFont="1" applyBorder="1" applyAlignment="1">
      <alignment horizontal="center" vertical="center"/>
    </xf>
    <xf numFmtId="0" fontId="58" fillId="0" borderId="44" xfId="0" applyFont="1" applyBorder="1" applyAlignment="1">
      <alignment horizontal="center" vertical="center"/>
    </xf>
    <xf numFmtId="0" fontId="58" fillId="0" borderId="34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58" fillId="0" borderId="15" xfId="0" applyFont="1" applyBorder="1" applyAlignment="1">
      <alignment horizontal="center" vertical="center"/>
    </xf>
    <xf numFmtId="0" fontId="58" fillId="0" borderId="19" xfId="0" applyFont="1" applyBorder="1" applyAlignment="1">
      <alignment horizontal="center" vertical="center"/>
    </xf>
    <xf numFmtId="0" fontId="63" fillId="0" borderId="3" xfId="0" applyFont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0" fontId="63" fillId="0" borderId="53" xfId="0" applyFont="1" applyBorder="1" applyAlignment="1">
      <alignment horizontal="center" vertical="center"/>
    </xf>
    <xf numFmtId="0" fontId="63" fillId="0" borderId="43" xfId="0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52" fillId="0" borderId="9" xfId="0" applyFont="1" applyBorder="1" applyAlignment="1">
      <alignment horizontal="center" vertical="center"/>
    </xf>
    <xf numFmtId="0" fontId="77" fillId="8" borderId="3" xfId="0" applyFont="1" applyFill="1" applyBorder="1" applyAlignment="1">
      <alignment horizontal="center" vertical="center"/>
    </xf>
    <xf numFmtId="0" fontId="77" fillId="9" borderId="3" xfId="0" applyFont="1" applyFill="1" applyBorder="1" applyAlignment="1">
      <alignment horizontal="center" vertical="center"/>
    </xf>
    <xf numFmtId="0" fontId="77" fillId="10" borderId="3" xfId="0" applyFont="1" applyFill="1" applyBorder="1" applyAlignment="1">
      <alignment horizontal="center" vertical="center"/>
    </xf>
    <xf numFmtId="0" fontId="76" fillId="6" borderId="3" xfId="0" applyFont="1" applyFill="1" applyBorder="1" applyAlignment="1">
      <alignment horizontal="center" vertical="center"/>
    </xf>
    <xf numFmtId="0" fontId="85" fillId="0" borderId="0" xfId="0" applyFont="1">
      <alignment vertical="center"/>
    </xf>
    <xf numFmtId="0" fontId="81" fillId="0" borderId="0" xfId="0" applyFont="1" applyAlignment="1">
      <alignment horizontal="center" vertical="center" wrapText="1"/>
    </xf>
    <xf numFmtId="0" fontId="92" fillId="0" borderId="0" xfId="0" applyFont="1">
      <alignment vertical="center"/>
    </xf>
    <xf numFmtId="0" fontId="93" fillId="0" borderId="0" xfId="0" applyFont="1">
      <alignment vertical="center"/>
    </xf>
    <xf numFmtId="0" fontId="94" fillId="0" borderId="0" xfId="0" applyFont="1">
      <alignment vertical="center"/>
    </xf>
    <xf numFmtId="0" fontId="96" fillId="0" borderId="0" xfId="0" applyFont="1">
      <alignment vertical="center"/>
    </xf>
    <xf numFmtId="0" fontId="95" fillId="0" borderId="0" xfId="0" applyFont="1">
      <alignment vertical="center"/>
    </xf>
    <xf numFmtId="0" fontId="76" fillId="0" borderId="0" xfId="0" applyFont="1">
      <alignment vertical="center"/>
    </xf>
    <xf numFmtId="0" fontId="63" fillId="0" borderId="62" xfId="0" applyFont="1" applyBorder="1" applyAlignment="1">
      <alignment horizontal="center" vertical="center"/>
    </xf>
    <xf numFmtId="0" fontId="87" fillId="2" borderId="8" xfId="0" applyFont="1" applyFill="1" applyBorder="1" applyAlignment="1">
      <alignment horizontal="center" vertical="center"/>
    </xf>
    <xf numFmtId="0" fontId="58" fillId="0" borderId="12" xfId="0" applyFont="1" applyBorder="1" applyAlignment="1">
      <alignment horizontal="center" vertical="center"/>
    </xf>
    <xf numFmtId="0" fontId="58" fillId="8" borderId="47" xfId="0" applyFont="1" applyFill="1" applyBorder="1" applyAlignment="1">
      <alignment horizontal="center" vertical="center"/>
    </xf>
    <xf numFmtId="0" fontId="103" fillId="5" borderId="17" xfId="0" applyFont="1" applyFill="1" applyBorder="1">
      <alignment vertical="center"/>
    </xf>
    <xf numFmtId="0" fontId="87" fillId="0" borderId="34" xfId="0" applyFont="1" applyBorder="1" applyAlignment="1">
      <alignment horizontal="center" vertical="center"/>
    </xf>
    <xf numFmtId="0" fontId="89" fillId="0" borderId="3" xfId="0" applyFont="1" applyBorder="1" applyAlignment="1">
      <alignment horizontal="center" vertical="center"/>
    </xf>
    <xf numFmtId="0" fontId="87" fillId="0" borderId="3" xfId="0" applyFont="1" applyBorder="1" applyAlignment="1">
      <alignment horizontal="center" vertical="center"/>
    </xf>
    <xf numFmtId="0" fontId="91" fillId="0" borderId="3" xfId="0" applyFont="1" applyBorder="1" applyAlignment="1">
      <alignment horizontal="center" vertical="center"/>
    </xf>
    <xf numFmtId="0" fontId="89" fillId="0" borderId="10" xfId="0" applyFont="1" applyBorder="1" applyAlignment="1">
      <alignment horizontal="center" vertical="center"/>
    </xf>
    <xf numFmtId="0" fontId="89" fillId="0" borderId="5" xfId="0" applyFont="1" applyBorder="1" applyAlignment="1">
      <alignment horizontal="center" vertical="center"/>
    </xf>
    <xf numFmtId="0" fontId="87" fillId="0" borderId="5" xfId="0" applyFont="1" applyBorder="1" applyAlignment="1">
      <alignment horizontal="center" vertical="center"/>
    </xf>
    <xf numFmtId="0" fontId="91" fillId="0" borderId="5" xfId="0" applyFont="1" applyBorder="1" applyAlignment="1">
      <alignment horizontal="center" vertical="center"/>
    </xf>
    <xf numFmtId="0" fontId="89" fillId="0" borderId="15" xfId="0" applyFont="1" applyBorder="1" applyAlignment="1">
      <alignment horizontal="center" vertical="center"/>
    </xf>
    <xf numFmtId="0" fontId="87" fillId="0" borderId="15" xfId="0" applyFont="1" applyBorder="1" applyAlignment="1">
      <alignment horizontal="center" vertical="center"/>
    </xf>
    <xf numFmtId="0" fontId="64" fillId="0" borderId="44" xfId="0" applyFont="1" applyBorder="1" applyAlignment="1">
      <alignment horizontal="center" vertical="center"/>
    </xf>
    <xf numFmtId="0" fontId="64" fillId="0" borderId="6" xfId="0" applyFont="1" applyBorder="1" applyAlignment="1">
      <alignment horizontal="center" vertical="center"/>
    </xf>
    <xf numFmtId="0" fontId="64" fillId="0" borderId="49" xfId="0" applyFont="1" applyBorder="1" applyAlignment="1">
      <alignment horizontal="center" vertical="center"/>
    </xf>
    <xf numFmtId="0" fontId="87" fillId="0" borderId="33" xfId="0" applyFont="1" applyBorder="1" applyAlignment="1">
      <alignment horizontal="center" vertical="center"/>
    </xf>
    <xf numFmtId="0" fontId="88" fillId="0" borderId="10" xfId="0" applyFont="1" applyBorder="1" applyAlignment="1">
      <alignment horizontal="center" vertical="center"/>
    </xf>
    <xf numFmtId="0" fontId="87" fillId="0" borderId="10" xfId="0" applyFont="1" applyBorder="1" applyAlignment="1">
      <alignment horizontal="center" vertical="center"/>
    </xf>
    <xf numFmtId="0" fontId="64" fillId="0" borderId="3" xfId="0" applyFont="1" applyBorder="1" applyAlignment="1">
      <alignment horizontal="center" vertical="center"/>
    </xf>
    <xf numFmtId="0" fontId="90" fillId="0" borderId="3" xfId="0" applyFont="1" applyBorder="1" applyAlignment="1">
      <alignment horizontal="center" vertical="center"/>
    </xf>
    <xf numFmtId="0" fontId="88" fillId="0" borderId="3" xfId="0" applyFont="1" applyBorder="1" applyAlignment="1">
      <alignment horizontal="center" vertical="center"/>
    </xf>
    <xf numFmtId="0" fontId="65" fillId="0" borderId="8" xfId="0" applyFont="1" applyBorder="1" applyAlignment="1">
      <alignment horizontal="center" vertical="center"/>
    </xf>
    <xf numFmtId="0" fontId="91" fillId="0" borderId="34" xfId="0" applyFont="1" applyBorder="1" applyAlignment="1">
      <alignment horizontal="center" vertical="center"/>
    </xf>
    <xf numFmtId="0" fontId="64" fillId="0" borderId="23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89" fillId="0" borderId="34" xfId="0" applyFont="1" applyBorder="1" applyAlignment="1">
      <alignment horizontal="center" vertical="center"/>
    </xf>
    <xf numFmtId="0" fontId="88" fillId="0" borderId="34" xfId="0" applyFont="1" applyBorder="1" applyAlignment="1">
      <alignment horizontal="center" vertical="center"/>
    </xf>
    <xf numFmtId="0" fontId="64" fillId="0" borderId="5" xfId="0" applyFont="1" applyBorder="1" applyAlignment="1">
      <alignment horizontal="center" vertical="center"/>
    </xf>
    <xf numFmtId="0" fontId="64" fillId="0" borderId="9" xfId="0" applyFont="1" applyBorder="1" applyAlignment="1">
      <alignment horizontal="center" vertical="center"/>
    </xf>
    <xf numFmtId="0" fontId="97" fillId="0" borderId="10" xfId="0" applyFont="1" applyBorder="1" applyAlignment="1">
      <alignment horizontal="center" vertical="center"/>
    </xf>
    <xf numFmtId="0" fontId="97" fillId="0" borderId="5" xfId="0" applyFont="1" applyBorder="1" applyAlignment="1">
      <alignment horizontal="center" vertical="center"/>
    </xf>
    <xf numFmtId="0" fontId="97" fillId="0" borderId="20" xfId="0" applyFont="1" applyBorder="1" applyAlignment="1">
      <alignment horizontal="center" vertical="center"/>
    </xf>
    <xf numFmtId="0" fontId="97" fillId="0" borderId="3" xfId="0" applyFont="1" applyBorder="1" applyAlignment="1">
      <alignment horizontal="center" vertical="center"/>
    </xf>
    <xf numFmtId="0" fontId="97" fillId="0" borderId="34" xfId="0" applyFont="1" applyBorder="1" applyAlignment="1">
      <alignment horizontal="center" vertical="center"/>
    </xf>
    <xf numFmtId="0" fontId="101" fillId="0" borderId="3" xfId="0" applyFont="1" applyBorder="1" applyAlignment="1">
      <alignment horizontal="center" vertical="center"/>
    </xf>
    <xf numFmtId="0" fontId="102" fillId="0" borderId="3" xfId="0" applyFont="1" applyBorder="1" applyAlignment="1">
      <alignment horizontal="center" vertical="center"/>
    </xf>
    <xf numFmtId="0" fontId="98" fillId="0" borderId="3" xfId="0" applyFont="1" applyBorder="1" applyAlignment="1">
      <alignment horizontal="center" vertical="center"/>
    </xf>
    <xf numFmtId="0" fontId="100" fillId="0" borderId="3" xfId="0" applyFont="1" applyBorder="1" applyAlignment="1">
      <alignment horizontal="center" vertical="center"/>
    </xf>
    <xf numFmtId="0" fontId="102" fillId="0" borderId="20" xfId="0" applyFont="1" applyBorder="1" applyAlignment="1">
      <alignment horizontal="center" vertical="center"/>
    </xf>
    <xf numFmtId="0" fontId="99" fillId="0" borderId="20" xfId="0" applyFont="1" applyBorder="1" applyAlignment="1">
      <alignment horizontal="center" vertical="center"/>
    </xf>
    <xf numFmtId="0" fontId="99" fillId="0" borderId="3" xfId="0" applyFont="1" applyBorder="1" applyAlignment="1">
      <alignment horizontal="center" vertical="center"/>
    </xf>
    <xf numFmtId="0" fontId="97" fillId="0" borderId="41" xfId="0" applyFont="1" applyBorder="1" applyAlignment="1">
      <alignment horizontal="center" vertical="center"/>
    </xf>
    <xf numFmtId="0" fontId="97" fillId="0" borderId="23" xfId="0" applyFont="1" applyBorder="1" applyAlignment="1">
      <alignment horizontal="center" vertical="center"/>
    </xf>
    <xf numFmtId="0" fontId="97" fillId="0" borderId="33" xfId="0" applyFont="1" applyBorder="1" applyAlignment="1">
      <alignment horizontal="center" vertical="center"/>
    </xf>
    <xf numFmtId="0" fontId="97" fillId="0" borderId="37" xfId="0" applyFont="1" applyBorder="1" applyAlignment="1">
      <alignment horizontal="center" vertical="center"/>
    </xf>
    <xf numFmtId="0" fontId="97" fillId="0" borderId="53" xfId="0" applyFont="1" applyBorder="1" applyAlignment="1">
      <alignment horizontal="center" vertical="center"/>
    </xf>
    <xf numFmtId="0" fontId="97" fillId="0" borderId="21" xfId="0" applyFont="1" applyBorder="1" applyAlignment="1">
      <alignment horizontal="center" vertical="center"/>
    </xf>
    <xf numFmtId="0" fontId="97" fillId="0" borderId="44" xfId="0" applyFont="1" applyBorder="1" applyAlignment="1">
      <alignment horizontal="center" vertical="center"/>
    </xf>
    <xf numFmtId="0" fontId="97" fillId="0" borderId="6" xfId="0" applyFont="1" applyBorder="1" applyAlignment="1">
      <alignment horizontal="center" vertical="center"/>
    </xf>
    <xf numFmtId="0" fontId="97" fillId="0" borderId="49" xfId="0" applyFont="1" applyBorder="1" applyAlignment="1">
      <alignment horizontal="center" vertical="center"/>
    </xf>
    <xf numFmtId="0" fontId="64" fillId="0" borderId="20" xfId="0" applyFont="1" applyBorder="1" applyAlignment="1">
      <alignment horizontal="center" vertical="center"/>
    </xf>
    <xf numFmtId="0" fontId="65" fillId="0" borderId="3" xfId="0" applyFont="1" applyBorder="1" applyAlignment="1">
      <alignment horizontal="center" vertical="center"/>
    </xf>
    <xf numFmtId="0" fontId="64" fillId="0" borderId="48" xfId="0" applyFont="1" applyBorder="1" applyAlignment="1">
      <alignment horizontal="center" vertical="center"/>
    </xf>
    <xf numFmtId="0" fontId="64" fillId="0" borderId="38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52" fillId="0" borderId="41" xfId="0" applyFont="1" applyBorder="1" applyAlignment="1">
      <alignment horizontal="center" vertical="center"/>
    </xf>
    <xf numFmtId="0" fontId="52" fillId="0" borderId="20" xfId="0" applyFont="1" applyBorder="1" applyAlignment="1">
      <alignment horizontal="center" vertical="center"/>
    </xf>
    <xf numFmtId="0" fontId="81" fillId="0" borderId="34" xfId="0" applyFont="1" applyBorder="1" applyAlignment="1">
      <alignment horizontal="center" vertical="center" wrapText="1"/>
    </xf>
    <xf numFmtId="0" fontId="81" fillId="0" borderId="3" xfId="0" applyFont="1" applyBorder="1" applyAlignment="1">
      <alignment horizontal="center" vertical="center"/>
    </xf>
    <xf numFmtId="0" fontId="60" fillId="0" borderId="1" xfId="0" applyFont="1" applyBorder="1" applyAlignment="1">
      <alignment horizontal="center" vertical="center"/>
    </xf>
    <xf numFmtId="0" fontId="52" fillId="0" borderId="25" xfId="0" applyFont="1" applyBorder="1">
      <alignment vertical="center"/>
    </xf>
    <xf numFmtId="0" fontId="52" fillId="0" borderId="26" xfId="0" applyFont="1" applyBorder="1">
      <alignment vertical="center"/>
    </xf>
    <xf numFmtId="0" fontId="52" fillId="0" borderId="27" xfId="0" applyFont="1" applyBorder="1">
      <alignment vertical="center"/>
    </xf>
    <xf numFmtId="0" fontId="52" fillId="0" borderId="28" xfId="0" applyFont="1" applyBorder="1">
      <alignment vertical="center"/>
    </xf>
    <xf numFmtId="20" fontId="58" fillId="0" borderId="59" xfId="0" applyNumberFormat="1" applyFont="1" applyBorder="1" applyAlignment="1">
      <alignment horizontal="center" vertical="center"/>
    </xf>
    <xf numFmtId="20" fontId="58" fillId="0" borderId="57" xfId="0" applyNumberFormat="1" applyFont="1" applyBorder="1" applyAlignment="1">
      <alignment horizontal="center" vertical="center"/>
    </xf>
    <xf numFmtId="20" fontId="58" fillId="0" borderId="23" xfId="0" applyNumberFormat="1" applyFont="1" applyBorder="1" applyAlignment="1">
      <alignment horizontal="center" vertical="center"/>
    </xf>
    <xf numFmtId="20" fontId="58" fillId="0" borderId="41" xfId="0" applyNumberFormat="1" applyFont="1" applyBorder="1" applyAlignment="1">
      <alignment horizontal="center" vertical="center"/>
    </xf>
    <xf numFmtId="20" fontId="58" fillId="0" borderId="58" xfId="0" applyNumberFormat="1" applyFont="1" applyBorder="1" applyAlignment="1">
      <alignment horizontal="center" vertical="center"/>
    </xf>
    <xf numFmtId="20" fontId="58" fillId="0" borderId="29" xfId="0" applyNumberFormat="1" applyFont="1" applyBorder="1" applyAlignment="1">
      <alignment horizontal="center" vertical="center"/>
    </xf>
    <xf numFmtId="0" fontId="63" fillId="0" borderId="54" xfId="0" applyFont="1" applyBorder="1" applyAlignment="1">
      <alignment horizontal="center" vertical="center"/>
    </xf>
    <xf numFmtId="0" fontId="63" fillId="0" borderId="55" xfId="0" applyFont="1" applyBorder="1" applyAlignment="1">
      <alignment horizontal="center" vertical="center"/>
    </xf>
    <xf numFmtId="0" fontId="63" fillId="0" borderId="56" xfId="0" applyFont="1" applyBorder="1" applyAlignment="1">
      <alignment horizontal="center" vertical="center"/>
    </xf>
    <xf numFmtId="0" fontId="63" fillId="0" borderId="59" xfId="0" applyFont="1" applyBorder="1" applyAlignment="1">
      <alignment horizontal="center" vertical="center"/>
    </xf>
    <xf numFmtId="0" fontId="63" fillId="0" borderId="60" xfId="0" applyFont="1" applyBorder="1" applyAlignment="1">
      <alignment horizontal="center" vertical="center"/>
    </xf>
    <xf numFmtId="0" fontId="63" fillId="0" borderId="23" xfId="0" applyFont="1" applyBorder="1" applyAlignment="1">
      <alignment horizontal="center" vertical="center"/>
    </xf>
    <xf numFmtId="0" fontId="63" fillId="0" borderId="20" xfId="0" applyFont="1" applyBorder="1" applyAlignment="1">
      <alignment horizontal="center" vertical="center"/>
    </xf>
    <xf numFmtId="0" fontId="52" fillId="0" borderId="61" xfId="0" applyFont="1" applyBorder="1" applyAlignment="1">
      <alignment horizontal="center" vertical="center"/>
    </xf>
    <xf numFmtId="0" fontId="52" fillId="0" borderId="57" xfId="0" applyFont="1" applyBorder="1" applyAlignment="1">
      <alignment horizontal="center" vertical="center"/>
    </xf>
    <xf numFmtId="0" fontId="52" fillId="0" borderId="60" xfId="0" applyFont="1" applyBorder="1" applyAlignment="1">
      <alignment horizontal="center" vertical="center"/>
    </xf>
    <xf numFmtId="0" fontId="52" fillId="0" borderId="46" xfId="0" applyFont="1" applyBorder="1" applyAlignment="1">
      <alignment horizontal="center" vertical="center" wrapText="1"/>
    </xf>
    <xf numFmtId="0" fontId="52" fillId="0" borderId="6" xfId="0" applyFont="1" applyBorder="1" applyAlignment="1">
      <alignment horizontal="center" vertical="center"/>
    </xf>
    <xf numFmtId="0" fontId="63" fillId="0" borderId="6" xfId="0" applyFont="1" applyBorder="1" applyAlignment="1">
      <alignment horizontal="center" vertical="center"/>
    </xf>
    <xf numFmtId="56" fontId="53" fillId="2" borderId="0" xfId="0" applyNumberFormat="1" applyFont="1" applyFill="1">
      <alignment vertical="center"/>
    </xf>
    <xf numFmtId="176" fontId="53" fillId="0" borderId="0" xfId="0" applyNumberFormat="1" applyFont="1" applyAlignment="1">
      <alignment horizontal="left" vertical="center"/>
    </xf>
    <xf numFmtId="0" fontId="84" fillId="2" borderId="33" xfId="0" applyFont="1" applyFill="1" applyBorder="1" applyAlignment="1">
      <alignment vertical="center" textRotation="255"/>
    </xf>
    <xf numFmtId="0" fontId="84" fillId="0" borderId="34" xfId="0" applyFont="1" applyBorder="1" applyAlignment="1">
      <alignment vertical="center" textRotation="255"/>
    </xf>
    <xf numFmtId="0" fontId="84" fillId="0" borderId="46" xfId="0" applyFont="1" applyBorder="1" applyAlignment="1">
      <alignment vertical="center" textRotation="255"/>
    </xf>
    <xf numFmtId="0" fontId="61" fillId="0" borderId="33" xfId="0" applyFont="1" applyBorder="1" applyAlignment="1">
      <alignment vertical="center" textRotation="255"/>
    </xf>
    <xf numFmtId="0" fontId="58" fillId="0" borderId="34" xfId="0" applyFont="1" applyBorder="1" applyAlignment="1">
      <alignment vertical="center" textRotation="255"/>
    </xf>
    <xf numFmtId="0" fontId="58" fillId="0" borderId="46" xfId="0" applyFont="1" applyBorder="1" applyAlignment="1">
      <alignment vertical="center" textRotation="255"/>
    </xf>
    <xf numFmtId="0" fontId="74" fillId="0" borderId="54" xfId="0" applyFont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20" fontId="58" fillId="0" borderId="3" xfId="0" applyNumberFormat="1" applyFont="1" applyBorder="1" applyAlignment="1">
      <alignment horizontal="center" vertical="center"/>
    </xf>
    <xf numFmtId="0" fontId="58" fillId="0" borderId="23" xfId="0" applyFont="1" applyBorder="1" applyAlignment="1">
      <alignment horizontal="center" vertical="center"/>
    </xf>
    <xf numFmtId="20" fontId="58" fillId="0" borderId="6" xfId="0" applyNumberFormat="1" applyFont="1" applyBorder="1" applyAlignment="1">
      <alignment horizontal="center" vertical="center"/>
    </xf>
    <xf numFmtId="0" fontId="58" fillId="0" borderId="52" xfId="0" applyFont="1" applyBorder="1" applyAlignment="1">
      <alignment horizontal="center" vertical="center"/>
    </xf>
    <xf numFmtId="0" fontId="63" fillId="0" borderId="3" xfId="0" applyFont="1" applyBorder="1" applyAlignment="1">
      <alignment horizontal="center" vertical="center"/>
    </xf>
    <xf numFmtId="0" fontId="63" fillId="0" borderId="62" xfId="0" applyFont="1" applyBorder="1" applyAlignment="1">
      <alignment horizontal="center" vertical="center"/>
    </xf>
    <xf numFmtId="20" fontId="58" fillId="0" borderId="20" xfId="0" applyNumberFormat="1" applyFont="1" applyBorder="1" applyAlignment="1">
      <alignment horizontal="center" vertical="center"/>
    </xf>
    <xf numFmtId="0" fontId="58" fillId="0" borderId="8" xfId="0" applyFont="1" applyBorder="1" applyAlignment="1">
      <alignment horizontal="center" vertical="center"/>
    </xf>
    <xf numFmtId="20" fontId="58" fillId="0" borderId="49" xfId="0" applyNumberFormat="1" applyFont="1" applyBorder="1" applyAlignment="1">
      <alignment horizontal="center" vertical="center"/>
    </xf>
    <xf numFmtId="0" fontId="58" fillId="0" borderId="9" xfId="0" applyFont="1" applyBorder="1" applyAlignment="1">
      <alignment horizontal="center" vertical="center"/>
    </xf>
    <xf numFmtId="0" fontId="79" fillId="0" borderId="33" xfId="0" applyFont="1" applyBorder="1" applyAlignment="1">
      <alignment vertical="center" textRotation="255"/>
    </xf>
    <xf numFmtId="0" fontId="52" fillId="0" borderId="34" xfId="0" applyFont="1" applyBorder="1" applyAlignment="1">
      <alignment vertical="center" textRotation="255"/>
    </xf>
    <xf numFmtId="0" fontId="52" fillId="0" borderId="46" xfId="0" applyFont="1" applyBorder="1" applyAlignment="1">
      <alignment vertical="center" textRotation="255"/>
    </xf>
    <xf numFmtId="0" fontId="58" fillId="0" borderId="1" xfId="0" applyFont="1" applyBorder="1" applyAlignment="1">
      <alignment horizontal="center" vertical="center"/>
    </xf>
    <xf numFmtId="0" fontId="52" fillId="0" borderId="39" xfId="0" applyFont="1" applyBorder="1">
      <alignment vertical="center"/>
    </xf>
    <xf numFmtId="0" fontId="52" fillId="0" borderId="1" xfId="0" applyFont="1" applyBorder="1">
      <alignment vertical="center"/>
    </xf>
    <xf numFmtId="0" fontId="74" fillId="2" borderId="33" xfId="0" applyFont="1" applyFill="1" applyBorder="1" applyAlignment="1">
      <alignment vertical="center" textRotation="255"/>
    </xf>
    <xf numFmtId="0" fontId="74" fillId="0" borderId="34" xfId="0" applyFont="1" applyBorder="1" applyAlignment="1">
      <alignment vertical="center" textRotation="255"/>
    </xf>
    <xf numFmtId="0" fontId="74" fillId="0" borderId="46" xfId="0" applyFont="1" applyBorder="1" applyAlignment="1">
      <alignment vertical="center" textRotation="255"/>
    </xf>
    <xf numFmtId="0" fontId="80" fillId="0" borderId="5" xfId="0" applyFont="1" applyBorder="1" applyAlignment="1">
      <alignment horizontal="left" vertical="center"/>
    </xf>
    <xf numFmtId="0" fontId="52" fillId="0" borderId="17" xfId="0" applyFont="1" applyBorder="1" applyAlignment="1">
      <alignment horizontal="left" vertical="center"/>
    </xf>
    <xf numFmtId="0" fontId="80" fillId="0" borderId="3" xfId="0" applyFont="1" applyBorder="1" applyAlignment="1">
      <alignment horizontal="left" vertical="center"/>
    </xf>
    <xf numFmtId="0" fontId="52" fillId="0" borderId="8" xfId="0" applyFont="1" applyBorder="1" applyAlignment="1">
      <alignment horizontal="left" vertical="center"/>
    </xf>
    <xf numFmtId="0" fontId="80" fillId="0" borderId="8" xfId="0" applyFont="1" applyBorder="1" applyAlignment="1">
      <alignment horizontal="left" vertical="center"/>
    </xf>
    <xf numFmtId="0" fontId="63" fillId="0" borderId="3" xfId="0" applyFont="1" applyBorder="1" applyAlignment="1">
      <alignment horizontal="left" vertical="center"/>
    </xf>
    <xf numFmtId="0" fontId="63" fillId="0" borderId="8" xfId="0" applyFont="1" applyBorder="1" applyAlignment="1">
      <alignment horizontal="left" vertical="center"/>
    </xf>
    <xf numFmtId="0" fontId="80" fillId="0" borderId="6" xfId="0" applyFont="1" applyBorder="1" applyAlignment="1">
      <alignment horizontal="left" vertical="center"/>
    </xf>
    <xf numFmtId="0" fontId="80" fillId="0" borderId="9" xfId="0" applyFont="1" applyBorder="1" applyAlignment="1">
      <alignment horizontal="left" vertical="center"/>
    </xf>
    <xf numFmtId="56" fontId="31" fillId="2" borderId="0" xfId="0" applyNumberFormat="1" applyFont="1" applyFill="1">
      <alignment vertical="center"/>
    </xf>
    <xf numFmtId="176" fontId="31" fillId="0" borderId="0" xfId="0" applyNumberFormat="1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6" fillId="0" borderId="25" xfId="0" applyFont="1" applyBorder="1">
      <alignment vertical="center"/>
    </xf>
    <xf numFmtId="0" fontId="6" fillId="0" borderId="39" xfId="0" applyFont="1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1" xfId="0" applyBorder="1">
      <alignment vertical="center"/>
    </xf>
    <xf numFmtId="0" fontId="0" fillId="0" borderId="28" xfId="0" applyBorder="1">
      <alignment vertical="center"/>
    </xf>
    <xf numFmtId="0" fontId="36" fillId="2" borderId="33" xfId="0" applyFont="1" applyFill="1" applyBorder="1" applyAlignment="1">
      <alignment vertical="center" textRotation="255"/>
    </xf>
    <xf numFmtId="0" fontId="37" fillId="0" borderId="34" xfId="0" applyFont="1" applyBorder="1" applyAlignment="1">
      <alignment vertical="center" textRotation="255"/>
    </xf>
    <xf numFmtId="0" fontId="37" fillId="0" borderId="46" xfId="0" applyFont="1" applyBorder="1" applyAlignment="1">
      <alignment vertical="center" textRotation="255"/>
    </xf>
    <xf numFmtId="0" fontId="27" fillId="0" borderId="5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27" fillId="0" borderId="3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7" fillId="0" borderId="8" xfId="0" applyFont="1" applyBorder="1" applyAlignment="1">
      <alignment horizontal="left" vertical="center"/>
    </xf>
    <xf numFmtId="0" fontId="28" fillId="0" borderId="3" xfId="0" applyFont="1" applyBorder="1" applyAlignment="1">
      <alignment horizontal="left" vertical="center"/>
    </xf>
    <xf numFmtId="0" fontId="28" fillId="0" borderId="8" xfId="0" applyFont="1" applyBorder="1" applyAlignment="1">
      <alignment horizontal="left" vertical="center"/>
    </xf>
    <xf numFmtId="0" fontId="50" fillId="0" borderId="6" xfId="0" applyFont="1" applyBorder="1" applyAlignment="1">
      <alignment horizontal="left" vertical="center"/>
    </xf>
    <xf numFmtId="0" fontId="50" fillId="0" borderId="9" xfId="0" applyFont="1" applyBorder="1" applyAlignment="1">
      <alignment horizontal="left" vertical="center"/>
    </xf>
    <xf numFmtId="0" fontId="38" fillId="0" borderId="33" xfId="0" applyFont="1" applyBorder="1" applyAlignment="1">
      <alignment vertical="center" textRotation="255"/>
    </xf>
    <xf numFmtId="0" fontId="0" fillId="0" borderId="34" xfId="0" applyBorder="1" applyAlignment="1">
      <alignment vertical="center" textRotation="255"/>
    </xf>
    <xf numFmtId="0" fontId="0" fillId="0" borderId="46" xfId="0" applyBorder="1" applyAlignment="1">
      <alignment vertical="center" textRotation="255"/>
    </xf>
    <xf numFmtId="0" fontId="52" fillId="0" borderId="64" xfId="0" applyFont="1" applyBorder="1" applyAlignment="1">
      <alignment horizontal="center" vertical="center"/>
    </xf>
    <xf numFmtId="0" fontId="52" fillId="0" borderId="36" xfId="0" applyFont="1" applyBorder="1" applyAlignment="1">
      <alignment horizontal="center" vertical="center"/>
    </xf>
    <xf numFmtId="0" fontId="52" fillId="0" borderId="65" xfId="0" applyFont="1" applyBorder="1" applyAlignment="1">
      <alignment horizontal="center" vertical="center"/>
    </xf>
    <xf numFmtId="0" fontId="63" fillId="0" borderId="63" xfId="0" applyFont="1" applyBorder="1" applyAlignment="1">
      <alignment horizontal="center" vertical="center"/>
    </xf>
    <xf numFmtId="0" fontId="81" fillId="0" borderId="39" xfId="0" applyFont="1" applyBorder="1" applyAlignment="1">
      <alignment horizontal="center" vertical="center" wrapText="1"/>
    </xf>
    <xf numFmtId="0" fontId="81" fillId="0" borderId="39" xfId="0" applyFont="1" applyBorder="1" applyAlignment="1">
      <alignment horizontal="center" vertical="center"/>
    </xf>
    <xf numFmtId="0" fontId="63" fillId="0" borderId="39" xfId="0" applyFont="1" applyBorder="1" applyAlignment="1">
      <alignment horizontal="center" vertical="center"/>
    </xf>
    <xf numFmtId="0" fontId="63" fillId="0" borderId="39" xfId="0" applyFont="1" applyBorder="1" applyAlignment="1">
      <alignment horizontal="center" vertical="center"/>
    </xf>
    <xf numFmtId="0" fontId="52" fillId="0" borderId="39" xfId="0" applyFont="1" applyBorder="1" applyAlignment="1">
      <alignment horizontal="center" vertical="center"/>
    </xf>
    <xf numFmtId="0" fontId="52" fillId="0" borderId="0" xfId="0" applyFont="1" applyBorder="1" applyAlignment="1">
      <alignment horizontal="center" vertical="center" wrapText="1"/>
    </xf>
    <xf numFmtId="0" fontId="52" fillId="0" borderId="0" xfId="0" applyFont="1" applyBorder="1" applyAlignment="1">
      <alignment horizontal="center" vertical="center"/>
    </xf>
    <xf numFmtId="0" fontId="63" fillId="0" borderId="0" xfId="0" applyFont="1" applyBorder="1" applyAlignment="1">
      <alignment horizontal="center" vertical="center"/>
    </xf>
    <xf numFmtId="0" fontId="63" fillId="0" borderId="0" xfId="0" applyFont="1" applyBorder="1" applyAlignment="1">
      <alignment horizontal="center" vertical="center"/>
    </xf>
    <xf numFmtId="0" fontId="52" fillId="0" borderId="0" xfId="0" applyFont="1" applyBorder="1" applyAlignment="1">
      <alignment horizontal="center" vertical="center"/>
    </xf>
  </cellXfs>
  <cellStyles count="1">
    <cellStyle name="標準" xfId="0" builtinId="0"/>
  </cellStyles>
  <dxfs count="621"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B050"/>
      </font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b/>
        <i val="0"/>
        <color theme="0"/>
      </font>
      <fill>
        <patternFill>
          <bgColor rgb="FF0234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234FF"/>
        </patternFill>
      </fill>
    </dxf>
    <dxf>
      <font>
        <color rgb="FFFF0000"/>
      </font>
      <fill>
        <patternFill>
          <fgColor rgb="FFFFFF00"/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u/>
        <color rgb="FFFF0000"/>
      </font>
      <fill>
        <patternFill>
          <bgColor rgb="FF00FFFF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234FF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>
          <fgColor rgb="FFFFFF00"/>
          <bgColor rgb="FFFFFF00"/>
        </patternFill>
      </fill>
    </dxf>
    <dxf>
      <font>
        <b/>
        <i val="0"/>
        <color theme="0"/>
      </font>
      <fill>
        <patternFill>
          <bgColor rgb="FF0234FF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234FF"/>
        </patternFill>
      </fill>
    </dxf>
    <dxf>
      <font>
        <u/>
        <color theme="0"/>
      </font>
      <fill>
        <patternFill>
          <bgColor theme="1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7030A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234FF"/>
        </patternFill>
      </fill>
    </dxf>
    <dxf>
      <font>
        <color rgb="FFFF0000"/>
      </font>
      <fill>
        <patternFill>
          <fgColor rgb="FFFFFF00"/>
          <bgColor rgb="FFFFFF00"/>
        </patternFill>
      </fill>
    </dxf>
    <dxf>
      <font>
        <color rgb="FF00B050"/>
      </font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u/>
        <color rgb="FFFF0000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u/>
        <color rgb="FFFF0000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00FF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ont>
        <u/>
        <color rgb="FFFF0000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u/>
        <color rgb="FFFF0000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theme="1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theme="1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u/>
        <color rgb="FFFF0000"/>
      </font>
      <fill>
        <patternFill>
          <bgColor rgb="FF00FF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234FF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234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ont>
        <u/>
        <color rgb="FFFF0000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FFFF00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00FF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u/>
        <color rgb="FFFF0000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0234FF"/>
        </patternFill>
      </fill>
    </dxf>
    <dxf>
      <font>
        <color rgb="FFFF0000"/>
      </font>
      <fill>
        <patternFill>
          <fgColor rgb="FFFFFF00"/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u/>
        <color rgb="FFFF0000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u/>
        <color rgb="FFFF0000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00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u/>
        <color rgb="FFFF0000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00FF00"/>
        </patternFill>
      </fill>
    </dxf>
    <dxf>
      <fill>
        <patternFill>
          <bgColor rgb="FF00FF00"/>
        </patternFill>
      </fill>
    </dxf>
    <dxf>
      <font>
        <color theme="0"/>
      </font>
      <fill>
        <patternFill>
          <bgColor theme="1"/>
        </patternFill>
      </fill>
    </dxf>
    <dxf>
      <font>
        <u/>
        <color rgb="FFFF0000"/>
      </font>
      <fill>
        <patternFill>
          <bgColor rgb="FF00FFFF"/>
        </patternFill>
      </fill>
    </dxf>
    <dxf>
      <fill>
        <patternFill>
          <bgColor rgb="FF00FFFF"/>
        </patternFill>
      </fill>
    </dxf>
    <dxf>
      <fill>
        <patternFill>
          <bgColor rgb="FFFFFF0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rgb="FF0234FF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99CC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u/>
        <color rgb="FFFF0000"/>
      </font>
      <fill>
        <patternFill>
          <bgColor rgb="FFFFFF00"/>
        </patternFill>
      </fill>
    </dxf>
    <dxf>
      <fill>
        <patternFill>
          <bgColor rgb="FFFF99CC"/>
        </patternFill>
      </fill>
    </dxf>
    <dxf>
      <fill>
        <patternFill>
          <bgColor rgb="FFFFC7CE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0234FF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>
          <fgColor rgb="FFFFFF00"/>
          <bgColor rgb="FFFFFF00"/>
        </patternFill>
      </fill>
    </dxf>
    <dxf>
      <font>
        <b/>
        <i val="0"/>
        <color theme="0"/>
      </font>
      <fill>
        <patternFill>
          <bgColor rgb="FF0234FF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ont>
        <u/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u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F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FFFF00"/>
        </patternFill>
      </fill>
    </dxf>
    <dxf>
      <font>
        <u/>
        <color theme="0"/>
      </font>
      <fill>
        <patternFill>
          <bgColor theme="1"/>
        </patternFill>
      </fill>
    </dxf>
    <dxf>
      <font>
        <color theme="0"/>
      </font>
      <fill>
        <patternFill>
          <bgColor rgb="FF0234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7030A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99CC"/>
        </patternFill>
      </fill>
    </dxf>
    <dxf>
      <font>
        <color theme="0"/>
      </font>
      <fill>
        <patternFill>
          <bgColor rgb="FF0234FF"/>
        </patternFill>
      </fill>
    </dxf>
    <dxf>
      <fill>
        <patternFill>
          <bgColor rgb="FFFF99CC"/>
        </patternFill>
      </fill>
    </dxf>
    <dxf>
      <font>
        <color theme="0"/>
      </font>
      <fill>
        <patternFill>
          <bgColor rgb="FFFF0000"/>
        </patternFill>
      </fill>
    </dxf>
    <dxf>
      <font>
        <u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0234FF"/>
      <color rgb="FFFF99CC"/>
      <color rgb="FF00FF00"/>
      <color rgb="FFFFFF00"/>
      <color rgb="FF00FFFF"/>
      <color rgb="FFFF66FF"/>
      <color rgb="FF000000"/>
      <color rgb="FF0066FF"/>
      <color rgb="FFFF00FF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313078</xdr:colOff>
      <xdr:row>54</xdr:row>
      <xdr:rowOff>173341</xdr:rowOff>
    </xdr:from>
    <xdr:ext cx="14266333" cy="1020839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00FDA79-8AFA-DC4F-A7D1-1D47D88D0089}"/>
            </a:ext>
          </a:extLst>
        </xdr:cNvPr>
        <xdr:cNvSpPr txBox="1"/>
      </xdr:nvSpPr>
      <xdr:spPr>
        <a:xfrm>
          <a:off x="313078" y="19871041"/>
          <a:ext cx="14266333" cy="10208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en-US" altLang="ja-JP" sz="1600">
              <a:solidFill>
                <a:srgbClr val="FF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A</a:t>
          </a:r>
          <a:r>
            <a:rPr kumimoji="1" lang="en-US" altLang="ja-JP" sz="1600">
              <a:solidFill>
                <a:schemeClr val="tx1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9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：００～１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8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：００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【</a:t>
          </a:r>
          <a:r>
            <a:rPr kumimoji="1" lang="en-US" altLang="ja-JP" sz="1600">
              <a:solidFill>
                <a:srgbClr val="FF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1</a:t>
          </a:r>
          <a:r>
            <a:rPr kumimoji="1" lang="ja-JP" altLang="en-US" sz="1600">
              <a:solidFill>
                <a:srgbClr val="FF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ｈ休憩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】</a:t>
          </a:r>
          <a:r>
            <a:rPr kumimoji="1" lang="en-US" altLang="ja-JP" sz="1600">
              <a:solidFill>
                <a:srgbClr val="FF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B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7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：００～１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6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：００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【1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ｈ休憩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】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　　</a:t>
          </a:r>
          <a:r>
            <a:rPr kumimoji="1" lang="ja-JP" altLang="en-US" sz="1600">
              <a:solidFill>
                <a:srgbClr val="FF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Ｃ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１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2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：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00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～２１：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00【</a:t>
          </a:r>
          <a:r>
            <a:rPr kumimoji="1" lang="ja-JP" altLang="en-US" sz="1600">
              <a:solidFill>
                <a:srgbClr val="FF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１ｈ休憩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】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　</a:t>
          </a:r>
          <a:r>
            <a:rPr kumimoji="1" lang="ja-JP" altLang="en-US" sz="16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HGPｺﾞｼｯｸM" panose="020B0600000000000000" pitchFamily="50" charset="-128"/>
              <a:ea typeface="HGPｺﾞｼｯｸM" panose="020B0600000000000000" pitchFamily="50" charset="-128"/>
              <a:cs typeface="+mn-cs"/>
            </a:rPr>
            <a:t>　</a:t>
          </a:r>
          <a:r>
            <a:rPr kumimoji="1" lang="ja-JP" altLang="en-US" sz="1600">
              <a:solidFill>
                <a:srgbClr val="FF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夜勤　</a:t>
          </a:r>
          <a:r>
            <a:rPr kumimoji="1" lang="en-US" altLang="ja-JP" sz="1600">
              <a:solidFill>
                <a:sysClr val="windowText" lastClr="00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17</a:t>
          </a:r>
          <a:r>
            <a:rPr kumimoji="1" lang="ja-JP" altLang="en-US" sz="1600">
              <a:solidFill>
                <a:sysClr val="windowText" lastClr="00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：</a:t>
          </a:r>
          <a:r>
            <a:rPr kumimoji="1" lang="en-US" altLang="ja-JP" sz="1600">
              <a:solidFill>
                <a:sysClr val="windowText" lastClr="00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00</a:t>
          </a:r>
          <a:r>
            <a:rPr kumimoji="1" lang="ja-JP" altLang="en-US" sz="1600">
              <a:solidFill>
                <a:sysClr val="windowText" lastClr="00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～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翌朝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10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：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0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０</a:t>
          </a:r>
          <a:r>
            <a:rPr kumimoji="1" lang="en-US" altLang="ja-JP" sz="1600">
              <a:solidFill>
                <a:sysClr val="windowText" lastClr="00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【</a:t>
          </a:r>
          <a:r>
            <a:rPr kumimoji="1" lang="en-US" altLang="ja-JP" sz="1600">
              <a:solidFill>
                <a:srgbClr val="FF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1</a:t>
          </a:r>
          <a:r>
            <a:rPr kumimoji="1" lang="ja-JP" altLang="en-US" sz="1600">
              <a:solidFill>
                <a:srgbClr val="FF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ｈ休憩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】</a:t>
          </a:r>
        </a:p>
        <a:p>
          <a:r>
            <a:rPr kumimoji="1" lang="ja-JP" altLang="en-US" sz="1600">
              <a:solidFill>
                <a:srgbClr val="FF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　　                                  </a:t>
          </a:r>
          <a:r>
            <a:rPr kumimoji="1" lang="en-US" altLang="ja-JP" sz="1600">
              <a:solidFill>
                <a:srgbClr val="FF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D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8:00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～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17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：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00【1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ｈ休憩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】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　　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31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日</a:t>
          </a:r>
          <a:r>
            <a:rPr kumimoji="1" lang="ja-JP" altLang="en-US" sz="1600">
              <a:solidFill>
                <a:srgbClr val="FF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１７７．１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）　３０日（</a:t>
          </a:r>
          <a:r>
            <a:rPr kumimoji="1" lang="ja-JP" altLang="en-US" sz="1600">
              <a:solidFill>
                <a:srgbClr val="FF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１７１．４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）　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29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日（</a:t>
          </a:r>
          <a:r>
            <a:rPr kumimoji="1" lang="ja-JP" altLang="en-US" sz="1600">
              <a:solidFill>
                <a:srgbClr val="FF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１６５．７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）　</a:t>
          </a:r>
          <a:r>
            <a:rPr kumimoji="1" lang="en-US" altLang="ja-JP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28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日（</a:t>
          </a:r>
          <a:r>
            <a:rPr kumimoji="1" lang="ja-JP" altLang="en-US" sz="1600">
              <a:solidFill>
                <a:srgbClr val="FF0000"/>
              </a:solidFill>
              <a:latin typeface="HGPｺﾞｼｯｸM" panose="020B0600000000000000" pitchFamily="50" charset="-128"/>
              <a:ea typeface="HGPｺﾞｼｯｸM" panose="020B0600000000000000" pitchFamily="50" charset="-128"/>
            </a:rPr>
            <a:t>１６０．０</a:t>
          </a:r>
          <a:r>
            <a:rPr kumimoji="1" lang="ja-JP" altLang="en-US" sz="1600">
              <a:latin typeface="HGPｺﾞｼｯｸM" panose="020B0600000000000000" pitchFamily="50" charset="-128"/>
              <a:ea typeface="HGPｺﾞｼｯｸM" panose="020B0600000000000000" pitchFamily="50" charset="-128"/>
            </a:rPr>
            <a:t>）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BL104"/>
  <sheetViews>
    <sheetView tabSelected="1" topLeftCell="B1" zoomScale="75" zoomScaleNormal="120" workbookViewId="0">
      <pane xSplit="5" ySplit="5" topLeftCell="G6" activePane="bottomRight" state="frozen"/>
      <selection activeCell="B1" sqref="B1"/>
      <selection pane="topRight" activeCell="G1" sqref="G1"/>
      <selection pane="bottomLeft" activeCell="B6" sqref="B6"/>
      <selection pane="bottomRight" activeCell="S59" sqref="S59"/>
    </sheetView>
  </sheetViews>
  <sheetFormatPr baseColWidth="10" defaultColWidth="9" defaultRowHeight="17"/>
  <cols>
    <col min="1" max="1" width="6.5" style="132" customWidth="1"/>
    <col min="2" max="2" width="18.83203125" style="132" customWidth="1"/>
    <col min="3" max="3" width="22" style="132" customWidth="1"/>
    <col min="4" max="6" width="4.6640625" style="132" hidden="1" customWidth="1"/>
    <col min="7" max="37" width="4.6640625" style="132" customWidth="1"/>
    <col min="38" max="38" width="3.6640625" style="132" customWidth="1"/>
    <col min="39" max="39" width="8.33203125" style="132" customWidth="1"/>
    <col min="40" max="46" width="8.6640625" style="132" customWidth="1"/>
    <col min="47" max="47" width="8.33203125" style="132" customWidth="1"/>
    <col min="48" max="48" width="8" style="132" customWidth="1"/>
    <col min="49" max="49" width="8.33203125" style="132" customWidth="1"/>
    <col min="50" max="50" width="8.6640625" style="132" customWidth="1"/>
    <col min="51" max="51" width="10.33203125" style="132" customWidth="1"/>
    <col min="52" max="52" width="14.1640625" style="132" customWidth="1"/>
    <col min="53" max="53" width="11" style="132" customWidth="1"/>
    <col min="54" max="16384" width="9" style="132"/>
  </cols>
  <sheetData>
    <row r="1" spans="1:64" ht="7" customHeight="1">
      <c r="P1" s="177"/>
      <c r="R1" s="177"/>
    </row>
    <row r="2" spans="1:64" ht="34" customHeight="1" thickBot="1">
      <c r="C2" s="133" t="s">
        <v>41</v>
      </c>
      <c r="D2" s="133"/>
      <c r="E2" s="133"/>
      <c r="F2" s="133"/>
      <c r="G2" s="370">
        <v>46143</v>
      </c>
      <c r="H2" s="370"/>
      <c r="I2" s="370"/>
      <c r="J2" s="370"/>
      <c r="K2" s="134" t="s">
        <v>42</v>
      </c>
      <c r="L2" s="371">
        <f>EOMONTH(G2,0)</f>
        <v>46173</v>
      </c>
      <c r="M2" s="371"/>
      <c r="N2" s="371"/>
      <c r="O2" s="371"/>
      <c r="P2" s="134"/>
      <c r="Q2" s="135"/>
      <c r="R2" s="136"/>
      <c r="S2" s="136"/>
      <c r="T2" s="136"/>
      <c r="U2" s="136"/>
      <c r="V2" s="136"/>
      <c r="W2" s="136"/>
      <c r="X2" s="136"/>
      <c r="Y2" s="136"/>
      <c r="Z2" s="136"/>
      <c r="AA2" s="136"/>
      <c r="AB2" s="136"/>
      <c r="AC2" s="134"/>
      <c r="AD2" s="134"/>
      <c r="AE2" s="134"/>
      <c r="AF2" s="134"/>
      <c r="AG2" s="134"/>
      <c r="AH2" s="134"/>
      <c r="AI2" s="134"/>
      <c r="AJ2" s="134"/>
      <c r="AK2" s="134"/>
      <c r="AN2" s="179"/>
      <c r="AO2" s="179"/>
      <c r="AS2" s="180"/>
    </row>
    <row r="3" spans="1:64" ht="28" customHeight="1" thickBot="1">
      <c r="C3" s="137"/>
      <c r="D3" s="137"/>
      <c r="E3" s="137"/>
      <c r="F3" s="137"/>
      <c r="G3" s="138"/>
      <c r="H3" s="139"/>
      <c r="J3" s="139"/>
      <c r="K3" s="139"/>
      <c r="L3" s="139"/>
      <c r="M3" s="139"/>
      <c r="N3" s="140"/>
      <c r="O3" s="141"/>
      <c r="P3" s="142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4"/>
      <c r="AD3" s="346" t="s">
        <v>50</v>
      </c>
      <c r="AE3" s="346"/>
      <c r="AF3" s="346"/>
      <c r="AG3" s="346"/>
      <c r="AH3" s="346"/>
      <c r="AI3" s="346"/>
      <c r="AJ3" s="346"/>
      <c r="AK3" s="346"/>
      <c r="BA3" s="182">
        <f>MONTH(G2)</f>
        <v>5</v>
      </c>
    </row>
    <row r="4" spans="1:64" ht="27.75" customHeight="1">
      <c r="A4" s="183"/>
      <c r="B4" s="347"/>
      <c r="C4" s="348"/>
      <c r="D4" s="172">
        <f>E4-1</f>
        <v>46140</v>
      </c>
      <c r="E4" s="173">
        <f>F4-1</f>
        <v>46141</v>
      </c>
      <c r="F4" s="176">
        <f>G2-1</f>
        <v>46142</v>
      </c>
      <c r="G4" s="171">
        <f>G2</f>
        <v>46143</v>
      </c>
      <c r="H4" s="172">
        <f>G4+1</f>
        <v>46144</v>
      </c>
      <c r="I4" s="172">
        <f t="shared" ref="I4:AH4" si="0">H4+1</f>
        <v>46145</v>
      </c>
      <c r="J4" s="172">
        <f t="shared" si="0"/>
        <v>46146</v>
      </c>
      <c r="K4" s="172">
        <f t="shared" si="0"/>
        <v>46147</v>
      </c>
      <c r="L4" s="172">
        <f t="shared" si="0"/>
        <v>46148</v>
      </c>
      <c r="M4" s="172">
        <f t="shared" si="0"/>
        <v>46149</v>
      </c>
      <c r="N4" s="172">
        <f t="shared" si="0"/>
        <v>46150</v>
      </c>
      <c r="O4" s="172">
        <f t="shared" si="0"/>
        <v>46151</v>
      </c>
      <c r="P4" s="172">
        <f t="shared" si="0"/>
        <v>46152</v>
      </c>
      <c r="Q4" s="172">
        <f t="shared" si="0"/>
        <v>46153</v>
      </c>
      <c r="R4" s="172">
        <f t="shared" si="0"/>
        <v>46154</v>
      </c>
      <c r="S4" s="172">
        <f t="shared" si="0"/>
        <v>46155</v>
      </c>
      <c r="T4" s="172">
        <f t="shared" si="0"/>
        <v>46156</v>
      </c>
      <c r="U4" s="172">
        <f t="shared" si="0"/>
        <v>46157</v>
      </c>
      <c r="V4" s="172">
        <f t="shared" si="0"/>
        <v>46158</v>
      </c>
      <c r="W4" s="172">
        <f t="shared" si="0"/>
        <v>46159</v>
      </c>
      <c r="X4" s="172">
        <f t="shared" si="0"/>
        <v>46160</v>
      </c>
      <c r="Y4" s="172">
        <f t="shared" si="0"/>
        <v>46161</v>
      </c>
      <c r="Z4" s="172">
        <f t="shared" si="0"/>
        <v>46162</v>
      </c>
      <c r="AA4" s="173">
        <f t="shared" si="0"/>
        <v>46163</v>
      </c>
      <c r="AB4" s="172">
        <f t="shared" si="0"/>
        <v>46164</v>
      </c>
      <c r="AC4" s="172">
        <f t="shared" si="0"/>
        <v>46165</v>
      </c>
      <c r="AD4" s="172">
        <f t="shared" si="0"/>
        <v>46166</v>
      </c>
      <c r="AE4" s="173">
        <f t="shared" si="0"/>
        <v>46167</v>
      </c>
      <c r="AF4" s="174">
        <f t="shared" si="0"/>
        <v>46168</v>
      </c>
      <c r="AG4" s="172">
        <f t="shared" si="0"/>
        <v>46169</v>
      </c>
      <c r="AH4" s="172">
        <f t="shared" si="0"/>
        <v>46170</v>
      </c>
      <c r="AI4" s="175">
        <f t="shared" ref="AI4" si="1">AH4+1</f>
        <v>46171</v>
      </c>
      <c r="AJ4" s="173">
        <f t="shared" ref="AJ4:AK4" si="2">AI4+1</f>
        <v>46172</v>
      </c>
      <c r="AK4" s="176">
        <f t="shared" si="2"/>
        <v>46173</v>
      </c>
      <c r="AL4" s="184"/>
      <c r="AN4" s="185"/>
      <c r="AO4" s="185"/>
      <c r="AP4" s="185"/>
      <c r="AQ4" s="185"/>
      <c r="AR4" s="185"/>
      <c r="AS4" s="185"/>
      <c r="AT4" s="185"/>
      <c r="AX4" s="185"/>
      <c r="AY4" s="185"/>
      <c r="AZ4" s="185"/>
    </row>
    <row r="5" spans="1:64" ht="27.75" customHeight="1" thickBot="1">
      <c r="A5" s="186"/>
      <c r="B5" s="349"/>
      <c r="C5" s="350"/>
      <c r="D5" s="145" t="str">
        <f t="shared" ref="D5:F5" si="3">TEXT(D4,"aaa")</f>
        <v>火</v>
      </c>
      <c r="E5" s="145" t="str">
        <f t="shared" si="3"/>
        <v>水</v>
      </c>
      <c r="F5" s="146" t="str">
        <f t="shared" si="3"/>
        <v>木</v>
      </c>
      <c r="G5" s="286" t="str">
        <f>TEXT(G4,"aaa")</f>
        <v>金</v>
      </c>
      <c r="H5" s="145" t="str">
        <f>TEXT(H4,"aaa")</f>
        <v>土</v>
      </c>
      <c r="I5" s="145" t="str">
        <f t="shared" ref="I5:AK5" si="4">TEXT(I4,"aaa")</f>
        <v>日</v>
      </c>
      <c r="J5" s="148" t="str">
        <f t="shared" si="4"/>
        <v>月</v>
      </c>
      <c r="K5" s="148" t="str">
        <f t="shared" si="4"/>
        <v>火</v>
      </c>
      <c r="L5" s="148" t="str">
        <f t="shared" si="4"/>
        <v>水</v>
      </c>
      <c r="M5" s="145" t="str">
        <f t="shared" si="4"/>
        <v>木</v>
      </c>
      <c r="N5" s="145" t="str">
        <f t="shared" si="4"/>
        <v>金</v>
      </c>
      <c r="O5" s="145" t="str">
        <f t="shared" si="4"/>
        <v>土</v>
      </c>
      <c r="P5" s="145" t="str">
        <f t="shared" si="4"/>
        <v>日</v>
      </c>
      <c r="Q5" s="147" t="str">
        <f t="shared" si="4"/>
        <v>月</v>
      </c>
      <c r="R5" s="147" t="str">
        <f t="shared" si="4"/>
        <v>火</v>
      </c>
      <c r="S5" s="145" t="str">
        <f t="shared" si="4"/>
        <v>水</v>
      </c>
      <c r="T5" s="145" t="str">
        <f t="shared" si="4"/>
        <v>木</v>
      </c>
      <c r="U5" s="147" t="str">
        <f t="shared" si="4"/>
        <v>金</v>
      </c>
      <c r="V5" s="145" t="str">
        <f t="shared" si="4"/>
        <v>土</v>
      </c>
      <c r="W5" s="145" t="str">
        <f t="shared" si="4"/>
        <v>日</v>
      </c>
      <c r="X5" s="145" t="str">
        <f t="shared" si="4"/>
        <v>月</v>
      </c>
      <c r="Y5" s="145" t="str">
        <f t="shared" si="4"/>
        <v>火</v>
      </c>
      <c r="Z5" s="147" t="str">
        <f t="shared" si="4"/>
        <v>水</v>
      </c>
      <c r="AA5" s="145" t="str">
        <f t="shared" si="4"/>
        <v>木</v>
      </c>
      <c r="AB5" s="145" t="str">
        <f t="shared" si="4"/>
        <v>金</v>
      </c>
      <c r="AC5" s="147" t="str">
        <f t="shared" si="4"/>
        <v>土</v>
      </c>
      <c r="AD5" s="145" t="str">
        <f t="shared" si="4"/>
        <v>日</v>
      </c>
      <c r="AE5" s="145" t="str">
        <f t="shared" si="4"/>
        <v>月</v>
      </c>
      <c r="AF5" s="145" t="str">
        <f t="shared" si="4"/>
        <v>火</v>
      </c>
      <c r="AG5" s="145" t="str">
        <f t="shared" si="4"/>
        <v>水</v>
      </c>
      <c r="AH5" s="149" t="str">
        <f t="shared" si="4"/>
        <v>木</v>
      </c>
      <c r="AI5" s="287" t="str">
        <f t="shared" si="4"/>
        <v>金</v>
      </c>
      <c r="AJ5" s="147" t="str">
        <f t="shared" si="4"/>
        <v>土</v>
      </c>
      <c r="AK5" s="146" t="str">
        <f t="shared" si="4"/>
        <v>日</v>
      </c>
      <c r="AL5" s="188"/>
      <c r="AM5" s="272" t="s">
        <v>14</v>
      </c>
      <c r="AN5" s="190" t="s">
        <v>27</v>
      </c>
      <c r="AO5" s="190" t="s">
        <v>26</v>
      </c>
      <c r="AP5" s="191" t="s">
        <v>1</v>
      </c>
      <c r="AQ5" s="192" t="s">
        <v>0</v>
      </c>
      <c r="AR5" s="192" t="s">
        <v>4</v>
      </c>
      <c r="AS5" s="272" t="s">
        <v>57</v>
      </c>
      <c r="AT5" s="193" t="s">
        <v>82</v>
      </c>
      <c r="AU5" s="273" t="s">
        <v>78</v>
      </c>
      <c r="AV5" s="274" t="s">
        <v>79</v>
      </c>
      <c r="AW5" s="275" t="s">
        <v>15</v>
      </c>
      <c r="AX5" s="197" t="s">
        <v>3</v>
      </c>
      <c r="AY5" s="198" t="s">
        <v>44</v>
      </c>
      <c r="AZ5" s="198" t="s">
        <v>43</v>
      </c>
      <c r="BA5" s="248" t="s">
        <v>45</v>
      </c>
      <c r="BC5" s="125" t="s">
        <v>90</v>
      </c>
      <c r="BD5" s="125" t="s">
        <v>91</v>
      </c>
      <c r="BE5" s="125" t="s">
        <v>93</v>
      </c>
      <c r="BF5" s="125" t="s">
        <v>95</v>
      </c>
      <c r="BG5" s="125" t="s">
        <v>94</v>
      </c>
      <c r="BH5" s="125" t="s">
        <v>92</v>
      </c>
      <c r="BJ5" s="283" t="s">
        <v>13</v>
      </c>
      <c r="BK5" s="283" t="s">
        <v>1</v>
      </c>
      <c r="BL5" s="281" t="s">
        <v>96</v>
      </c>
    </row>
    <row r="6" spans="1:64" ht="35.25" customHeight="1">
      <c r="A6" s="200"/>
      <c r="B6" s="151" t="s">
        <v>29</v>
      </c>
      <c r="C6" s="152" t="s">
        <v>5</v>
      </c>
      <c r="D6" s="337"/>
      <c r="E6" s="305"/>
      <c r="F6" s="305"/>
      <c r="G6" s="316"/>
      <c r="H6" s="317"/>
      <c r="I6" s="317"/>
      <c r="J6" s="317"/>
      <c r="K6" s="317"/>
      <c r="L6" s="317"/>
      <c r="M6" s="317"/>
      <c r="N6" s="317"/>
      <c r="O6" s="317"/>
      <c r="P6" s="317"/>
      <c r="Q6" s="317"/>
      <c r="R6" s="317"/>
      <c r="S6" s="317"/>
      <c r="T6" s="317"/>
      <c r="U6" s="317"/>
      <c r="V6" s="317"/>
      <c r="W6" s="317"/>
      <c r="X6" s="317"/>
      <c r="Y6" s="317"/>
      <c r="Z6" s="317"/>
      <c r="AA6" s="317"/>
      <c r="AB6" s="317"/>
      <c r="AC6" s="317"/>
      <c r="AD6" s="317"/>
      <c r="AE6" s="317"/>
      <c r="AF6" s="317"/>
      <c r="AG6" s="317"/>
      <c r="AH6" s="317"/>
      <c r="AI6" s="317"/>
      <c r="AJ6" s="317"/>
      <c r="AK6" s="153"/>
      <c r="AL6" s="204"/>
      <c r="AM6" s="206">
        <f>COUNTIF($G6:$AK6,"Ａ")</f>
        <v>0</v>
      </c>
      <c r="AN6" s="206">
        <f>COUNTIF($G6:$AK6,"Ｂ")</f>
        <v>0</v>
      </c>
      <c r="AO6" s="206">
        <f>COUNTIF($G6:$AK6,"Ｄ")</f>
        <v>0</v>
      </c>
      <c r="AP6" s="206">
        <f>COUNTIF($G6:$AK6,"Ｃ")</f>
        <v>0</v>
      </c>
      <c r="AQ6" s="206">
        <f>COUNTIF($G6:$AK6,"夜")</f>
        <v>0</v>
      </c>
      <c r="AR6" s="206">
        <f>COUNTIF($G6:$AK6,"明")</f>
        <v>0</v>
      </c>
      <c r="AS6" s="206">
        <f>+COUNTIF($G6:$AK6,"Ｅ")</f>
        <v>0</v>
      </c>
      <c r="AT6" s="206">
        <f>COUNTIF($G6:$AK6,"研")+COUNTIF($G6:$AK6,"健")</f>
        <v>0</v>
      </c>
      <c r="AU6" s="206">
        <f>COUNTIF($G6:$AK6,"調1")</f>
        <v>0</v>
      </c>
      <c r="AV6" s="206">
        <f>COUNTIF($G6:$AK6,"調2")</f>
        <v>0</v>
      </c>
      <c r="AW6" s="206">
        <f>COUNTIF($G6:$AK6,"有")</f>
        <v>0</v>
      </c>
      <c r="AX6" s="206">
        <f>COUNTIF($G6:$AK6,"休")+COUNTIF($G6:$AK6,"希")</f>
        <v>0</v>
      </c>
      <c r="AY6" s="206">
        <f>SUM(AM6:AW6)</f>
        <v>0</v>
      </c>
      <c r="AZ6" s="206"/>
      <c r="BA6" s="134" t="str">
        <f>IF($BA$3=2,IF(AX6=8,"OK","NG"),IF(AX6=9,"OK","NG"))</f>
        <v>NG</v>
      </c>
      <c r="BC6" s="281">
        <v>19</v>
      </c>
      <c r="BD6" s="281"/>
      <c r="BE6" s="281">
        <f>BC6-BD6</f>
        <v>19</v>
      </c>
      <c r="BF6" s="281">
        <v>18</v>
      </c>
      <c r="BG6" s="281">
        <v>1</v>
      </c>
      <c r="BH6" s="281">
        <f>BE6-BF6-BG6</f>
        <v>0</v>
      </c>
      <c r="BJ6" s="283"/>
      <c r="BK6" s="283"/>
      <c r="BL6" s="281"/>
    </row>
    <row r="7" spans="1:64" ht="35.25" customHeight="1">
      <c r="A7" s="200"/>
      <c r="B7" s="155" t="s">
        <v>34</v>
      </c>
      <c r="C7" s="156" t="s">
        <v>8</v>
      </c>
      <c r="D7" s="337"/>
      <c r="E7" s="305"/>
      <c r="F7" s="305"/>
      <c r="G7" s="318"/>
      <c r="H7" s="319"/>
      <c r="I7" s="319"/>
      <c r="J7" s="319"/>
      <c r="K7" s="319"/>
      <c r="L7" s="319"/>
      <c r="M7" s="319"/>
      <c r="N7" s="319"/>
      <c r="O7" s="319"/>
      <c r="P7" s="319"/>
      <c r="Q7" s="319"/>
      <c r="R7" s="319"/>
      <c r="S7" s="319"/>
      <c r="T7" s="319"/>
      <c r="U7" s="319"/>
      <c r="V7" s="319"/>
      <c r="W7" s="319"/>
      <c r="X7" s="319"/>
      <c r="Y7" s="319"/>
      <c r="Z7" s="319"/>
      <c r="AA7" s="319"/>
      <c r="AB7" s="319"/>
      <c r="AC7" s="319"/>
      <c r="AD7" s="319"/>
      <c r="AE7" s="319"/>
      <c r="AF7" s="319"/>
      <c r="AG7" s="319"/>
      <c r="AH7" s="319"/>
      <c r="AI7" s="319"/>
      <c r="AJ7" s="319"/>
      <c r="AK7" s="153"/>
      <c r="AL7" s="204"/>
      <c r="AM7" s="206">
        <f t="shared" ref="AM7:AM25" si="5">COUNTIF($G7:$AK7,"Ａ")</f>
        <v>0</v>
      </c>
      <c r="AN7" s="206">
        <f t="shared" ref="AN7:AN25" si="6">COUNTIF($G7:$AK7,"Ｂ")</f>
        <v>0</v>
      </c>
      <c r="AO7" s="206">
        <f t="shared" ref="AO7:AO25" si="7">COUNTIF($G7:$AK7,"Ｄ")</f>
        <v>0</v>
      </c>
      <c r="AP7" s="206">
        <f t="shared" ref="AP7:AP25" si="8">COUNTIF($G7:$AK7,"Ｃ")</f>
        <v>0</v>
      </c>
      <c r="AQ7" s="206">
        <f t="shared" ref="AQ7:AQ25" si="9">COUNTIF($G7:$AK7,"夜")</f>
        <v>0</v>
      </c>
      <c r="AR7" s="206">
        <f t="shared" ref="AR7:AR25" si="10">COUNTIF($G7:$AK7,"明")</f>
        <v>0</v>
      </c>
      <c r="AS7" s="206">
        <f t="shared" ref="AS7:AS25" si="11">+COUNTIF($G7:$AK7,"Ｅ")</f>
        <v>0</v>
      </c>
      <c r="AT7" s="206">
        <f t="shared" ref="AT7:AT25" si="12">COUNTIF($G7:$AK7,"研")+COUNTIF($G7:$AK7,"健")</f>
        <v>0</v>
      </c>
      <c r="AU7" s="206">
        <f t="shared" ref="AU7:AU25" si="13">COUNTIF($G7:$AK7,"調1")</f>
        <v>0</v>
      </c>
      <c r="AV7" s="206">
        <f t="shared" ref="AV7:AV25" si="14">COUNTIF($G7:$AK7,"調2")</f>
        <v>0</v>
      </c>
      <c r="AW7" s="206">
        <f t="shared" ref="AW7:AW25" si="15">COUNTIF($G7:$AK7,"有")</f>
        <v>0</v>
      </c>
      <c r="AX7" s="206">
        <f t="shared" ref="AX7:AX25" si="16">COUNTIF($G7:$AK7,"休")+COUNTIF($G7:$AK7,"希")</f>
        <v>0</v>
      </c>
      <c r="AY7" s="206">
        <f t="shared" ref="AY7:AY26" si="17">SUM(AM7:AW7)</f>
        <v>0</v>
      </c>
      <c r="AZ7" s="206"/>
      <c r="BA7" s="134" t="str">
        <f t="shared" ref="BA7:BA9" si="18">IF($BA$3=2,IF(AX7=8,"OK","NG"),IF(AX7=9,"OK","NG"))</f>
        <v>NG</v>
      </c>
      <c r="BC7" s="281">
        <v>21</v>
      </c>
      <c r="BD7" s="281">
        <v>2</v>
      </c>
      <c r="BE7" s="281">
        <f t="shared" ref="BE7:BE15" si="19">BC7-BD7</f>
        <v>19</v>
      </c>
      <c r="BF7" s="281">
        <v>12</v>
      </c>
      <c r="BG7" s="281"/>
      <c r="BH7" s="281">
        <f t="shared" ref="BH7:BH15" si="20">BE7-BF7-BG7</f>
        <v>7</v>
      </c>
      <c r="BJ7" s="283"/>
      <c r="BK7" s="283"/>
      <c r="BL7" s="281"/>
    </row>
    <row r="8" spans="1:64" ht="35.25" customHeight="1">
      <c r="A8" s="200"/>
      <c r="B8" s="155" t="s">
        <v>34</v>
      </c>
      <c r="C8" s="156" t="s">
        <v>6</v>
      </c>
      <c r="D8" s="305"/>
      <c r="E8" s="305"/>
      <c r="F8" s="305"/>
      <c r="G8" s="320"/>
      <c r="H8" s="319"/>
      <c r="I8" s="319"/>
      <c r="J8" s="319"/>
      <c r="K8" s="319"/>
      <c r="L8" s="319"/>
      <c r="M8" s="319"/>
      <c r="N8" s="319"/>
      <c r="O8" s="319"/>
      <c r="P8" s="319"/>
      <c r="Q8" s="319"/>
      <c r="R8" s="319"/>
      <c r="S8" s="319"/>
      <c r="T8" s="319"/>
      <c r="U8" s="319"/>
      <c r="V8" s="319"/>
      <c r="W8" s="319"/>
      <c r="X8" s="319"/>
      <c r="Y8" s="319"/>
      <c r="Z8" s="319"/>
      <c r="AA8" s="319"/>
      <c r="AB8" s="319"/>
      <c r="AC8" s="319"/>
      <c r="AD8" s="319"/>
      <c r="AE8" s="319"/>
      <c r="AF8" s="319"/>
      <c r="AG8" s="319"/>
      <c r="AH8" s="319"/>
      <c r="AI8" s="319"/>
      <c r="AJ8" s="319"/>
      <c r="AK8" s="153"/>
      <c r="AL8" s="204"/>
      <c r="AM8" s="206">
        <f t="shared" si="5"/>
        <v>0</v>
      </c>
      <c r="AN8" s="206">
        <f t="shared" si="6"/>
        <v>0</v>
      </c>
      <c r="AO8" s="206">
        <f t="shared" si="7"/>
        <v>0</v>
      </c>
      <c r="AP8" s="206">
        <f t="shared" si="8"/>
        <v>0</v>
      </c>
      <c r="AQ8" s="206">
        <f t="shared" si="9"/>
        <v>0</v>
      </c>
      <c r="AR8" s="206">
        <f t="shared" si="10"/>
        <v>0</v>
      </c>
      <c r="AS8" s="206">
        <f t="shared" si="11"/>
        <v>0</v>
      </c>
      <c r="AT8" s="206">
        <f t="shared" si="12"/>
        <v>0</v>
      </c>
      <c r="AU8" s="206">
        <f t="shared" si="13"/>
        <v>0</v>
      </c>
      <c r="AV8" s="206">
        <f t="shared" si="14"/>
        <v>0</v>
      </c>
      <c r="AW8" s="206">
        <f t="shared" si="15"/>
        <v>0</v>
      </c>
      <c r="AX8" s="206">
        <f t="shared" si="16"/>
        <v>0</v>
      </c>
      <c r="AY8" s="206">
        <f t="shared" si="17"/>
        <v>0</v>
      </c>
      <c r="AZ8" s="206"/>
      <c r="BA8" s="134" t="str">
        <f t="shared" si="18"/>
        <v>NG</v>
      </c>
      <c r="BC8" s="281">
        <v>0</v>
      </c>
      <c r="BD8" s="281"/>
      <c r="BE8" s="281">
        <f t="shared" si="19"/>
        <v>0</v>
      </c>
      <c r="BF8" s="281"/>
      <c r="BG8" s="281"/>
      <c r="BH8" s="281">
        <f t="shared" si="20"/>
        <v>0</v>
      </c>
      <c r="BJ8" s="283"/>
      <c r="BK8" s="283"/>
      <c r="BL8" s="281"/>
    </row>
    <row r="9" spans="1:64" ht="36" customHeight="1">
      <c r="A9" s="200"/>
      <c r="B9" s="155" t="s">
        <v>34</v>
      </c>
      <c r="C9" s="156" t="s">
        <v>28</v>
      </c>
      <c r="D9" s="337"/>
      <c r="E9" s="338"/>
      <c r="F9" s="308"/>
      <c r="G9" s="318"/>
      <c r="H9" s="319"/>
      <c r="I9" s="319"/>
      <c r="J9" s="319"/>
      <c r="K9" s="319"/>
      <c r="L9" s="319"/>
      <c r="M9" s="319"/>
      <c r="N9" s="319"/>
      <c r="O9" s="319"/>
      <c r="P9" s="319"/>
      <c r="Q9" s="319"/>
      <c r="R9" s="319"/>
      <c r="S9" s="319"/>
      <c r="T9" s="319"/>
      <c r="U9" s="319"/>
      <c r="V9" s="319"/>
      <c r="W9" s="319"/>
      <c r="X9" s="319"/>
      <c r="Y9" s="319"/>
      <c r="Z9" s="319"/>
      <c r="AA9" s="319"/>
      <c r="AB9" s="319"/>
      <c r="AC9" s="319"/>
      <c r="AD9" s="319"/>
      <c r="AE9" s="319"/>
      <c r="AF9" s="319"/>
      <c r="AG9" s="319"/>
      <c r="AH9" s="319"/>
      <c r="AI9" s="319"/>
      <c r="AJ9" s="319"/>
      <c r="AK9" s="162"/>
      <c r="AL9" s="204"/>
      <c r="AM9" s="206">
        <f t="shared" si="5"/>
        <v>0</v>
      </c>
      <c r="AN9" s="206">
        <f t="shared" si="6"/>
        <v>0</v>
      </c>
      <c r="AO9" s="206">
        <f t="shared" si="7"/>
        <v>0</v>
      </c>
      <c r="AP9" s="206">
        <f t="shared" si="8"/>
        <v>0</v>
      </c>
      <c r="AQ9" s="206">
        <f t="shared" si="9"/>
        <v>0</v>
      </c>
      <c r="AR9" s="206">
        <f t="shared" si="10"/>
        <v>0</v>
      </c>
      <c r="AS9" s="206">
        <f t="shared" si="11"/>
        <v>0</v>
      </c>
      <c r="AT9" s="206">
        <f t="shared" si="12"/>
        <v>0</v>
      </c>
      <c r="AU9" s="206">
        <f t="shared" si="13"/>
        <v>0</v>
      </c>
      <c r="AV9" s="206">
        <f t="shared" si="14"/>
        <v>0</v>
      </c>
      <c r="AW9" s="206">
        <f t="shared" si="15"/>
        <v>0</v>
      </c>
      <c r="AX9" s="206">
        <f t="shared" si="16"/>
        <v>0</v>
      </c>
      <c r="AY9" s="206">
        <f t="shared" si="17"/>
        <v>0</v>
      </c>
      <c r="AZ9" s="206"/>
      <c r="BA9" s="134" t="str">
        <f t="shared" si="18"/>
        <v>NG</v>
      </c>
      <c r="BC9" s="281">
        <v>21</v>
      </c>
      <c r="BD9" s="281"/>
      <c r="BE9" s="281">
        <f t="shared" si="19"/>
        <v>21</v>
      </c>
      <c r="BF9" s="281">
        <v>8</v>
      </c>
      <c r="BG9" s="281">
        <v>1</v>
      </c>
      <c r="BH9" s="281">
        <f t="shared" si="20"/>
        <v>12</v>
      </c>
      <c r="BJ9" s="283"/>
      <c r="BK9" s="283"/>
      <c r="BL9" s="281"/>
    </row>
    <row r="10" spans="1:64" ht="36" customHeight="1">
      <c r="A10" s="200"/>
      <c r="B10" s="155" t="s">
        <v>34</v>
      </c>
      <c r="C10" s="163" t="s">
        <v>56</v>
      </c>
      <c r="D10" s="305"/>
      <c r="E10" s="305"/>
      <c r="F10" s="305"/>
      <c r="G10" s="318"/>
      <c r="H10" s="319"/>
      <c r="I10" s="319"/>
      <c r="J10" s="319"/>
      <c r="K10" s="319"/>
      <c r="L10" s="319"/>
      <c r="M10" s="319"/>
      <c r="N10" s="319"/>
      <c r="O10" s="319"/>
      <c r="P10" s="319"/>
      <c r="Q10" s="319"/>
      <c r="R10" s="319"/>
      <c r="S10" s="319"/>
      <c r="T10" s="319"/>
      <c r="U10" s="319"/>
      <c r="V10" s="319"/>
      <c r="W10" s="319"/>
      <c r="X10" s="319"/>
      <c r="Y10" s="319"/>
      <c r="Z10" s="319"/>
      <c r="AA10" s="319"/>
      <c r="AB10" s="319"/>
      <c r="AC10" s="319"/>
      <c r="AD10" s="319"/>
      <c r="AE10" s="319"/>
      <c r="AF10" s="319"/>
      <c r="AG10" s="319"/>
      <c r="AH10" s="319"/>
      <c r="AI10" s="319"/>
      <c r="AJ10" s="319"/>
      <c r="AK10" s="153"/>
      <c r="AL10" s="204"/>
      <c r="AM10" s="206">
        <f t="shared" si="5"/>
        <v>0</v>
      </c>
      <c r="AN10" s="206">
        <f t="shared" si="6"/>
        <v>0</v>
      </c>
      <c r="AO10" s="206">
        <f t="shared" si="7"/>
        <v>0</v>
      </c>
      <c r="AP10" s="206">
        <f t="shared" si="8"/>
        <v>0</v>
      </c>
      <c r="AQ10" s="206">
        <f t="shared" si="9"/>
        <v>0</v>
      </c>
      <c r="AR10" s="206">
        <f t="shared" si="10"/>
        <v>0</v>
      </c>
      <c r="AS10" s="206">
        <f t="shared" si="11"/>
        <v>0</v>
      </c>
      <c r="AT10" s="206">
        <f t="shared" si="12"/>
        <v>0</v>
      </c>
      <c r="AU10" s="206">
        <f t="shared" si="13"/>
        <v>0</v>
      </c>
      <c r="AV10" s="206">
        <f t="shared" si="14"/>
        <v>0</v>
      </c>
      <c r="AW10" s="206">
        <f t="shared" si="15"/>
        <v>0</v>
      </c>
      <c r="AX10" s="206">
        <f t="shared" si="16"/>
        <v>0</v>
      </c>
      <c r="AY10" s="206">
        <f t="shared" si="17"/>
        <v>0</v>
      </c>
      <c r="AZ10" s="206">
        <v>14</v>
      </c>
      <c r="BA10" s="134" t="str">
        <f>IF(AY10&lt;=AZ10,"OK","NG")</f>
        <v>OK</v>
      </c>
      <c r="BC10" s="281">
        <v>14</v>
      </c>
      <c r="BD10" s="281"/>
      <c r="BE10" s="281">
        <f t="shared" si="19"/>
        <v>14</v>
      </c>
      <c r="BF10" s="281">
        <v>14</v>
      </c>
      <c r="BG10" s="281"/>
      <c r="BH10" s="281">
        <f t="shared" si="20"/>
        <v>0</v>
      </c>
      <c r="BJ10" s="283"/>
      <c r="BK10" s="283"/>
      <c r="BL10" s="281"/>
    </row>
    <row r="11" spans="1:64" ht="36" customHeight="1">
      <c r="A11" s="200"/>
      <c r="B11" s="155" t="s">
        <v>34</v>
      </c>
      <c r="C11" s="163" t="s">
        <v>99</v>
      </c>
      <c r="D11" s="305"/>
      <c r="E11" s="305"/>
      <c r="F11" s="310"/>
      <c r="G11" s="318"/>
      <c r="H11" s="319"/>
      <c r="I11" s="319"/>
      <c r="J11" s="319"/>
      <c r="K11" s="319"/>
      <c r="L11" s="319"/>
      <c r="M11" s="319"/>
      <c r="N11" s="319"/>
      <c r="O11" s="319"/>
      <c r="P11" s="319"/>
      <c r="Q11" s="319"/>
      <c r="R11" s="319"/>
      <c r="S11" s="319"/>
      <c r="T11" s="319"/>
      <c r="U11" s="319"/>
      <c r="V11" s="319"/>
      <c r="W11" s="319"/>
      <c r="X11" s="319"/>
      <c r="Y11" s="319"/>
      <c r="Z11" s="319"/>
      <c r="AA11" s="319"/>
      <c r="AB11" s="319"/>
      <c r="AC11" s="319"/>
      <c r="AD11" s="319"/>
      <c r="AE11" s="319"/>
      <c r="AF11" s="319"/>
      <c r="AG11" s="319"/>
      <c r="AH11" s="319"/>
      <c r="AI11" s="319"/>
      <c r="AJ11" s="319"/>
      <c r="AK11" s="158"/>
      <c r="AL11" s="204"/>
      <c r="AM11" s="206">
        <f t="shared" si="5"/>
        <v>0</v>
      </c>
      <c r="AN11" s="206">
        <f t="shared" si="6"/>
        <v>0</v>
      </c>
      <c r="AO11" s="206">
        <f t="shared" si="7"/>
        <v>0</v>
      </c>
      <c r="AP11" s="206">
        <f t="shared" si="8"/>
        <v>0</v>
      </c>
      <c r="AQ11" s="206">
        <f t="shared" si="9"/>
        <v>0</v>
      </c>
      <c r="AR11" s="206">
        <f t="shared" si="10"/>
        <v>0</v>
      </c>
      <c r="AS11" s="206">
        <f t="shared" si="11"/>
        <v>0</v>
      </c>
      <c r="AT11" s="206">
        <f t="shared" si="12"/>
        <v>0</v>
      </c>
      <c r="AU11" s="206">
        <f t="shared" si="13"/>
        <v>0</v>
      </c>
      <c r="AV11" s="206">
        <f t="shared" si="14"/>
        <v>0</v>
      </c>
      <c r="AW11" s="206">
        <f t="shared" si="15"/>
        <v>0</v>
      </c>
      <c r="AX11" s="206">
        <f t="shared" si="16"/>
        <v>0</v>
      </c>
      <c r="AY11" s="206">
        <f t="shared" si="17"/>
        <v>0</v>
      </c>
      <c r="AZ11" s="206">
        <v>15</v>
      </c>
      <c r="BA11" s="134" t="str">
        <f>IF(AY11&lt;=AZ11,"OK","NG")</f>
        <v>OK</v>
      </c>
      <c r="BC11" s="281"/>
      <c r="BD11" s="281"/>
      <c r="BE11" s="281"/>
      <c r="BF11" s="281"/>
      <c r="BG11" s="281"/>
      <c r="BH11" s="281"/>
      <c r="BJ11" s="283"/>
      <c r="BK11" s="283"/>
      <c r="BL11" s="281"/>
    </row>
    <row r="12" spans="1:64" ht="35.25" customHeight="1">
      <c r="A12" s="200"/>
      <c r="B12" s="155" t="s">
        <v>34</v>
      </c>
      <c r="C12" s="156" t="s">
        <v>9</v>
      </c>
      <c r="D12" s="305"/>
      <c r="E12" s="305"/>
      <c r="F12" s="311"/>
      <c r="G12" s="319"/>
      <c r="H12" s="319"/>
      <c r="I12" s="319"/>
      <c r="J12" s="319"/>
      <c r="K12" s="319"/>
      <c r="L12" s="319"/>
      <c r="M12" s="319"/>
      <c r="N12" s="319"/>
      <c r="O12" s="319"/>
      <c r="P12" s="319"/>
      <c r="Q12" s="319"/>
      <c r="R12" s="319"/>
      <c r="S12" s="319"/>
      <c r="T12" s="319"/>
      <c r="U12" s="319"/>
      <c r="V12" s="319"/>
      <c r="W12" s="319"/>
      <c r="X12" s="319"/>
      <c r="Y12" s="319"/>
      <c r="Z12" s="319"/>
      <c r="AA12" s="319"/>
      <c r="AB12" s="319"/>
      <c r="AC12" s="319"/>
      <c r="AD12" s="319"/>
      <c r="AE12" s="319"/>
      <c r="AF12" s="319"/>
      <c r="AG12" s="319"/>
      <c r="AH12" s="319"/>
      <c r="AI12" s="319"/>
      <c r="AJ12" s="319"/>
      <c r="AK12" s="157"/>
      <c r="AL12" s="204"/>
      <c r="AM12" s="206">
        <f t="shared" si="5"/>
        <v>0</v>
      </c>
      <c r="AN12" s="206">
        <f t="shared" si="6"/>
        <v>0</v>
      </c>
      <c r="AO12" s="206">
        <f t="shared" si="7"/>
        <v>0</v>
      </c>
      <c r="AP12" s="206">
        <f t="shared" si="8"/>
        <v>0</v>
      </c>
      <c r="AQ12" s="206">
        <f t="shared" si="9"/>
        <v>0</v>
      </c>
      <c r="AR12" s="206">
        <f t="shared" si="10"/>
        <v>0</v>
      </c>
      <c r="AS12" s="206">
        <f t="shared" si="11"/>
        <v>0</v>
      </c>
      <c r="AT12" s="206">
        <f t="shared" si="12"/>
        <v>0</v>
      </c>
      <c r="AU12" s="206">
        <f t="shared" si="13"/>
        <v>0</v>
      </c>
      <c r="AV12" s="206">
        <f t="shared" si="14"/>
        <v>0</v>
      </c>
      <c r="AW12" s="206">
        <f t="shared" si="15"/>
        <v>0</v>
      </c>
      <c r="AX12" s="206">
        <f t="shared" si="16"/>
        <v>0</v>
      </c>
      <c r="AY12" s="206">
        <f t="shared" si="17"/>
        <v>0</v>
      </c>
      <c r="AZ12" s="206">
        <v>15</v>
      </c>
      <c r="BA12" s="134" t="str">
        <f>IF(AY12&lt;=AZ12,"OK","NG")</f>
        <v>OK</v>
      </c>
      <c r="BC12" s="281">
        <v>17</v>
      </c>
      <c r="BD12" s="281"/>
      <c r="BE12" s="281">
        <f t="shared" ref="BE12:BE14" si="21">BC12-BD12</f>
        <v>17</v>
      </c>
      <c r="BF12" s="281"/>
      <c r="BG12" s="281">
        <v>1</v>
      </c>
      <c r="BH12" s="281">
        <f t="shared" ref="BH12:BH14" si="22">BE12-BF12-BG12</f>
        <v>16</v>
      </c>
      <c r="BJ12" s="283"/>
      <c r="BK12" s="283">
        <v>6</v>
      </c>
      <c r="BL12" s="281">
        <f>30-BC12</f>
        <v>13</v>
      </c>
    </row>
    <row r="13" spans="1:64" ht="35.25" customHeight="1">
      <c r="A13" s="200"/>
      <c r="B13" s="155" t="s">
        <v>34</v>
      </c>
      <c r="C13" s="163" t="s">
        <v>10</v>
      </c>
      <c r="D13" s="305"/>
      <c r="E13" s="305"/>
      <c r="F13" s="308"/>
      <c r="G13" s="321"/>
      <c r="H13" s="322"/>
      <c r="I13" s="322"/>
      <c r="J13" s="319"/>
      <c r="K13" s="319"/>
      <c r="L13" s="322"/>
      <c r="M13" s="323"/>
      <c r="N13" s="322"/>
      <c r="O13" s="322"/>
      <c r="P13" s="324"/>
      <c r="Q13" s="322"/>
      <c r="R13" s="322"/>
      <c r="S13" s="321"/>
      <c r="T13" s="323"/>
      <c r="U13" s="321"/>
      <c r="V13" s="322"/>
      <c r="W13" s="322"/>
      <c r="X13" s="322"/>
      <c r="Y13" s="324"/>
      <c r="Z13" s="322"/>
      <c r="AA13" s="323"/>
      <c r="AB13" s="322"/>
      <c r="AC13" s="322"/>
      <c r="AD13" s="322"/>
      <c r="AE13" s="319"/>
      <c r="AF13" s="319"/>
      <c r="AG13" s="322"/>
      <c r="AH13" s="323"/>
      <c r="AI13" s="322"/>
      <c r="AJ13" s="322"/>
      <c r="AK13" s="285"/>
      <c r="AL13" s="204"/>
      <c r="AM13" s="206">
        <f t="shared" si="5"/>
        <v>0</v>
      </c>
      <c r="AN13" s="206">
        <f t="shared" si="6"/>
        <v>0</v>
      </c>
      <c r="AO13" s="206">
        <f t="shared" si="7"/>
        <v>0</v>
      </c>
      <c r="AP13" s="206">
        <f t="shared" si="8"/>
        <v>0</v>
      </c>
      <c r="AQ13" s="206">
        <f t="shared" si="9"/>
        <v>0</v>
      </c>
      <c r="AR13" s="206">
        <f t="shared" si="10"/>
        <v>0</v>
      </c>
      <c r="AS13" s="206">
        <f t="shared" si="11"/>
        <v>0</v>
      </c>
      <c r="AT13" s="206">
        <f t="shared" si="12"/>
        <v>0</v>
      </c>
      <c r="AU13" s="206">
        <f t="shared" si="13"/>
        <v>0</v>
      </c>
      <c r="AV13" s="206">
        <f t="shared" si="14"/>
        <v>0</v>
      </c>
      <c r="AW13" s="206">
        <f t="shared" si="15"/>
        <v>0</v>
      </c>
      <c r="AX13" s="206">
        <f t="shared" si="16"/>
        <v>0</v>
      </c>
      <c r="AY13" s="206">
        <f>SUM(AM13:AW13)</f>
        <v>0</v>
      </c>
      <c r="AZ13" s="206">
        <v>15</v>
      </c>
      <c r="BA13" s="134" t="str">
        <f>IF(AY13&lt;=AZ13,"OK","NG")</f>
        <v>OK</v>
      </c>
      <c r="BC13" s="281">
        <v>18</v>
      </c>
      <c r="BD13" s="281">
        <v>2</v>
      </c>
      <c r="BE13" s="281">
        <f t="shared" si="21"/>
        <v>16</v>
      </c>
      <c r="BF13" s="281"/>
      <c r="BG13" s="281"/>
      <c r="BH13" s="281">
        <f t="shared" si="22"/>
        <v>16</v>
      </c>
      <c r="BJ13" s="283"/>
      <c r="BK13" s="283">
        <v>7</v>
      </c>
      <c r="BL13" s="281">
        <f>30-BC13</f>
        <v>12</v>
      </c>
    </row>
    <row r="14" spans="1:64" ht="35.25" customHeight="1">
      <c r="A14" s="200"/>
      <c r="B14" s="155" t="s">
        <v>34</v>
      </c>
      <c r="C14" s="163" t="s">
        <v>20</v>
      </c>
      <c r="D14" s="338"/>
      <c r="E14" s="305"/>
      <c r="F14" s="308"/>
      <c r="G14" s="325"/>
      <c r="H14" s="322"/>
      <c r="I14" s="322"/>
      <c r="J14" s="322"/>
      <c r="K14" s="323"/>
      <c r="L14" s="321"/>
      <c r="M14" s="321"/>
      <c r="N14" s="322"/>
      <c r="O14" s="322"/>
      <c r="P14" s="322"/>
      <c r="Q14" s="322"/>
      <c r="R14" s="322"/>
      <c r="S14" s="322"/>
      <c r="T14" s="322"/>
      <c r="U14" s="322"/>
      <c r="V14" s="322"/>
      <c r="W14" s="322"/>
      <c r="X14" s="322"/>
      <c r="Y14" s="323"/>
      <c r="Z14" s="322"/>
      <c r="AA14" s="322"/>
      <c r="AB14" s="322"/>
      <c r="AC14" s="322"/>
      <c r="AD14" s="322"/>
      <c r="AE14" s="323"/>
      <c r="AF14" s="323"/>
      <c r="AG14" s="322"/>
      <c r="AH14" s="322"/>
      <c r="AI14" s="322"/>
      <c r="AJ14" s="322"/>
      <c r="AK14" s="285"/>
      <c r="AL14" s="204"/>
      <c r="AM14" s="206">
        <f t="shared" si="5"/>
        <v>0</v>
      </c>
      <c r="AN14" s="206">
        <f t="shared" si="6"/>
        <v>0</v>
      </c>
      <c r="AO14" s="206">
        <f t="shared" si="7"/>
        <v>0</v>
      </c>
      <c r="AP14" s="206">
        <f t="shared" si="8"/>
        <v>0</v>
      </c>
      <c r="AQ14" s="206">
        <f t="shared" si="9"/>
        <v>0</v>
      </c>
      <c r="AR14" s="206">
        <f t="shared" si="10"/>
        <v>0</v>
      </c>
      <c r="AS14" s="206">
        <f t="shared" si="11"/>
        <v>0</v>
      </c>
      <c r="AT14" s="206">
        <f t="shared" si="12"/>
        <v>0</v>
      </c>
      <c r="AU14" s="206">
        <f t="shared" si="13"/>
        <v>0</v>
      </c>
      <c r="AV14" s="206">
        <f t="shared" si="14"/>
        <v>0</v>
      </c>
      <c r="AW14" s="206">
        <f t="shared" si="15"/>
        <v>0</v>
      </c>
      <c r="AX14" s="206">
        <f t="shared" si="16"/>
        <v>0</v>
      </c>
      <c r="AY14" s="206">
        <f t="shared" si="17"/>
        <v>0</v>
      </c>
      <c r="AZ14" s="206">
        <v>15</v>
      </c>
      <c r="BA14" s="134" t="str">
        <f>IF(AY14&lt;=AZ14,"OK","NG")</f>
        <v>OK</v>
      </c>
      <c r="BC14" s="281">
        <v>17</v>
      </c>
      <c r="BD14" s="281"/>
      <c r="BE14" s="281">
        <f t="shared" si="21"/>
        <v>17</v>
      </c>
      <c r="BF14" s="281"/>
      <c r="BG14" s="281"/>
      <c r="BH14" s="281">
        <f t="shared" si="22"/>
        <v>17</v>
      </c>
      <c r="BJ14" s="283"/>
      <c r="BK14" s="283">
        <v>17</v>
      </c>
      <c r="BL14" s="281">
        <f>30-BC14</f>
        <v>13</v>
      </c>
    </row>
    <row r="15" spans="1:64" ht="35.25" customHeight="1">
      <c r="A15" s="200"/>
      <c r="B15" s="155" t="s">
        <v>30</v>
      </c>
      <c r="C15" s="156" t="s">
        <v>7</v>
      </c>
      <c r="D15" s="338"/>
      <c r="E15" s="305"/>
      <c r="F15" s="311"/>
      <c r="G15" s="326"/>
      <c r="H15" s="327"/>
      <c r="I15" s="319"/>
      <c r="J15" s="319"/>
      <c r="K15" s="319"/>
      <c r="L15" s="319"/>
      <c r="M15" s="319"/>
      <c r="N15" s="319"/>
      <c r="O15" s="319"/>
      <c r="P15" s="319"/>
      <c r="Q15" s="319"/>
      <c r="R15" s="319"/>
      <c r="S15" s="319"/>
      <c r="T15" s="319"/>
      <c r="U15" s="319"/>
      <c r="V15" s="319"/>
      <c r="W15" s="319"/>
      <c r="X15" s="319"/>
      <c r="Y15" s="319"/>
      <c r="Z15" s="319"/>
      <c r="AA15" s="327"/>
      <c r="AB15" s="319"/>
      <c r="AC15" s="319"/>
      <c r="AD15" s="319"/>
      <c r="AE15" s="319"/>
      <c r="AF15" s="319"/>
      <c r="AG15" s="319"/>
      <c r="AH15" s="327"/>
      <c r="AI15" s="327"/>
      <c r="AJ15" s="319"/>
      <c r="AK15" s="157"/>
      <c r="AL15" s="204"/>
      <c r="AM15" s="206">
        <f t="shared" si="5"/>
        <v>0</v>
      </c>
      <c r="AN15" s="206">
        <f t="shared" si="6"/>
        <v>0</v>
      </c>
      <c r="AO15" s="206">
        <f t="shared" si="7"/>
        <v>0</v>
      </c>
      <c r="AP15" s="206">
        <f t="shared" si="8"/>
        <v>0</v>
      </c>
      <c r="AQ15" s="206">
        <f t="shared" si="9"/>
        <v>0</v>
      </c>
      <c r="AR15" s="206">
        <f t="shared" si="10"/>
        <v>0</v>
      </c>
      <c r="AS15" s="206">
        <f t="shared" si="11"/>
        <v>0</v>
      </c>
      <c r="AT15" s="206">
        <f t="shared" si="12"/>
        <v>0</v>
      </c>
      <c r="AU15" s="206">
        <f t="shared" si="13"/>
        <v>0</v>
      </c>
      <c r="AV15" s="206">
        <f t="shared" si="14"/>
        <v>0</v>
      </c>
      <c r="AW15" s="206">
        <f t="shared" si="15"/>
        <v>0</v>
      </c>
      <c r="AX15" s="206">
        <f t="shared" si="16"/>
        <v>0</v>
      </c>
      <c r="AY15" s="206">
        <f t="shared" si="17"/>
        <v>0</v>
      </c>
      <c r="AZ15" s="206"/>
      <c r="BA15" s="134" t="str">
        <f t="shared" ref="BA15:BA17" si="23">IF($BA$3=2,IF(AX15=8,"OK","NG"),IF(AX15=9,"OK","NG"))</f>
        <v>NG</v>
      </c>
      <c r="BC15" s="281">
        <v>10</v>
      </c>
      <c r="BD15" s="281"/>
      <c r="BE15" s="281">
        <f t="shared" si="19"/>
        <v>10</v>
      </c>
      <c r="BF15" s="281">
        <v>8</v>
      </c>
      <c r="BG15" s="281"/>
      <c r="BH15" s="281">
        <f t="shared" si="20"/>
        <v>2</v>
      </c>
      <c r="BJ15" s="283"/>
      <c r="BK15" s="283"/>
      <c r="BL15" s="281"/>
    </row>
    <row r="16" spans="1:64" ht="35.25" customHeight="1">
      <c r="A16" s="200"/>
      <c r="B16" s="155" t="s">
        <v>33</v>
      </c>
      <c r="C16" s="163" t="s">
        <v>19</v>
      </c>
      <c r="D16" s="305"/>
      <c r="E16" s="305"/>
      <c r="F16" s="311"/>
      <c r="G16" s="318"/>
      <c r="H16" s="319"/>
      <c r="I16" s="319"/>
      <c r="J16" s="319"/>
      <c r="K16" s="319"/>
      <c r="L16" s="319"/>
      <c r="M16" s="319"/>
      <c r="N16" s="319"/>
      <c r="O16" s="319"/>
      <c r="P16" s="319"/>
      <c r="Q16" s="319"/>
      <c r="R16" s="319"/>
      <c r="S16" s="319"/>
      <c r="T16" s="319"/>
      <c r="U16" s="319"/>
      <c r="V16" s="319"/>
      <c r="W16" s="319"/>
      <c r="X16" s="319"/>
      <c r="Y16" s="319"/>
      <c r="Z16" s="319"/>
      <c r="AA16" s="319"/>
      <c r="AB16" s="319"/>
      <c r="AC16" s="319"/>
      <c r="AD16" s="319"/>
      <c r="AE16" s="319"/>
      <c r="AF16" s="319"/>
      <c r="AG16" s="319"/>
      <c r="AH16" s="319"/>
      <c r="AI16" s="319"/>
      <c r="AJ16" s="319"/>
      <c r="AK16" s="157"/>
      <c r="AL16" s="204"/>
      <c r="AM16" s="206">
        <f t="shared" si="5"/>
        <v>0</v>
      </c>
      <c r="AN16" s="206">
        <f t="shared" si="6"/>
        <v>0</v>
      </c>
      <c r="AO16" s="206">
        <f t="shared" si="7"/>
        <v>0</v>
      </c>
      <c r="AP16" s="206">
        <f t="shared" si="8"/>
        <v>0</v>
      </c>
      <c r="AQ16" s="206">
        <f t="shared" si="9"/>
        <v>0</v>
      </c>
      <c r="AR16" s="206">
        <f t="shared" si="10"/>
        <v>0</v>
      </c>
      <c r="AS16" s="206">
        <f t="shared" si="11"/>
        <v>0</v>
      </c>
      <c r="AT16" s="206">
        <f t="shared" si="12"/>
        <v>0</v>
      </c>
      <c r="AU16" s="206">
        <f t="shared" si="13"/>
        <v>0</v>
      </c>
      <c r="AV16" s="206">
        <f t="shared" si="14"/>
        <v>0</v>
      </c>
      <c r="AW16" s="206">
        <f t="shared" si="15"/>
        <v>0</v>
      </c>
      <c r="AX16" s="206">
        <f t="shared" si="16"/>
        <v>0</v>
      </c>
      <c r="AY16" s="206">
        <f t="shared" si="17"/>
        <v>0</v>
      </c>
      <c r="AZ16" s="206"/>
      <c r="BA16" s="134" t="str">
        <f t="shared" si="23"/>
        <v>NG</v>
      </c>
      <c r="BC16" s="281">
        <v>21</v>
      </c>
      <c r="BD16" s="281"/>
      <c r="BE16" s="281">
        <f>BC16-BD16</f>
        <v>21</v>
      </c>
      <c r="BF16" s="281"/>
      <c r="BG16" s="281"/>
      <c r="BH16" s="281">
        <f>BE16-BF16-BG16</f>
        <v>21</v>
      </c>
      <c r="BJ16" s="283"/>
      <c r="BK16" s="283"/>
      <c r="BL16" s="281"/>
    </row>
    <row r="17" spans="1:64" ht="35.25" customHeight="1">
      <c r="A17" s="200"/>
      <c r="B17" s="155" t="s">
        <v>31</v>
      </c>
      <c r="C17" s="163" t="s">
        <v>16</v>
      </c>
      <c r="D17" s="305"/>
      <c r="E17" s="305"/>
      <c r="F17" s="305"/>
      <c r="G17" s="318"/>
      <c r="H17" s="319"/>
      <c r="I17" s="319"/>
      <c r="J17" s="319"/>
      <c r="K17" s="319"/>
      <c r="L17" s="319"/>
      <c r="M17" s="319"/>
      <c r="N17" s="319"/>
      <c r="O17" s="319"/>
      <c r="P17" s="319"/>
      <c r="Q17" s="319"/>
      <c r="R17" s="319"/>
      <c r="S17" s="319"/>
      <c r="T17" s="319"/>
      <c r="U17" s="319"/>
      <c r="V17" s="319"/>
      <c r="W17" s="319"/>
      <c r="X17" s="319"/>
      <c r="Y17" s="319"/>
      <c r="Z17" s="319"/>
      <c r="AA17" s="319"/>
      <c r="AB17" s="319"/>
      <c r="AC17" s="319"/>
      <c r="AD17" s="319"/>
      <c r="AE17" s="319"/>
      <c r="AF17" s="319"/>
      <c r="AG17" s="319"/>
      <c r="AH17" s="319"/>
      <c r="AI17" s="319"/>
      <c r="AJ17" s="319"/>
      <c r="AK17" s="153"/>
      <c r="AL17" s="204"/>
      <c r="AM17" s="206">
        <f t="shared" si="5"/>
        <v>0</v>
      </c>
      <c r="AN17" s="206">
        <f t="shared" si="6"/>
        <v>0</v>
      </c>
      <c r="AO17" s="206">
        <f t="shared" si="7"/>
        <v>0</v>
      </c>
      <c r="AP17" s="206">
        <f t="shared" si="8"/>
        <v>0</v>
      </c>
      <c r="AQ17" s="206">
        <f t="shared" si="9"/>
        <v>0</v>
      </c>
      <c r="AR17" s="206">
        <f t="shared" si="10"/>
        <v>0</v>
      </c>
      <c r="AS17" s="206">
        <f t="shared" si="11"/>
        <v>0</v>
      </c>
      <c r="AT17" s="206">
        <f t="shared" si="12"/>
        <v>0</v>
      </c>
      <c r="AU17" s="206">
        <f t="shared" si="13"/>
        <v>0</v>
      </c>
      <c r="AV17" s="206">
        <f t="shared" si="14"/>
        <v>0</v>
      </c>
      <c r="AW17" s="206">
        <f t="shared" si="15"/>
        <v>0</v>
      </c>
      <c r="AX17" s="206">
        <f t="shared" si="16"/>
        <v>0</v>
      </c>
      <c r="AY17" s="206">
        <f t="shared" si="17"/>
        <v>0</v>
      </c>
      <c r="AZ17" s="206"/>
      <c r="BA17" s="134" t="str">
        <f t="shared" si="23"/>
        <v>NG</v>
      </c>
      <c r="BC17" s="281">
        <v>21</v>
      </c>
      <c r="BD17" s="281"/>
      <c r="BE17" s="281">
        <f>BC17-BD17</f>
        <v>21</v>
      </c>
      <c r="BF17" s="281"/>
      <c r="BG17" s="281"/>
      <c r="BH17" s="281">
        <f>BE17-BF17-BG17</f>
        <v>21</v>
      </c>
      <c r="BJ17" s="283"/>
      <c r="BK17" s="283"/>
      <c r="BL17" s="281"/>
    </row>
    <row r="18" spans="1:64" ht="35.25" customHeight="1">
      <c r="A18" s="200"/>
      <c r="B18" s="155" t="s">
        <v>32</v>
      </c>
      <c r="C18" s="163" t="s">
        <v>38</v>
      </c>
      <c r="D18" s="305"/>
      <c r="E18" s="305"/>
      <c r="F18" s="305"/>
      <c r="G18" s="318"/>
      <c r="H18" s="319"/>
      <c r="I18" s="319"/>
      <c r="J18" s="319"/>
      <c r="K18" s="319"/>
      <c r="L18" s="319"/>
      <c r="M18" s="319"/>
      <c r="N18" s="319"/>
      <c r="O18" s="319"/>
      <c r="P18" s="319"/>
      <c r="Q18" s="319"/>
      <c r="R18" s="319"/>
      <c r="S18" s="319"/>
      <c r="T18" s="319"/>
      <c r="U18" s="319"/>
      <c r="V18" s="319"/>
      <c r="W18" s="319"/>
      <c r="X18" s="319"/>
      <c r="Y18" s="319"/>
      <c r="Z18" s="319"/>
      <c r="AA18" s="319"/>
      <c r="AB18" s="319"/>
      <c r="AC18" s="319"/>
      <c r="AD18" s="319"/>
      <c r="AE18" s="319"/>
      <c r="AF18" s="319"/>
      <c r="AG18" s="319"/>
      <c r="AH18" s="319"/>
      <c r="AI18" s="319"/>
      <c r="AJ18" s="319"/>
      <c r="AK18" s="153"/>
      <c r="AL18" s="204"/>
      <c r="AM18" s="206">
        <f t="shared" si="5"/>
        <v>0</v>
      </c>
      <c r="AN18" s="206">
        <f t="shared" si="6"/>
        <v>0</v>
      </c>
      <c r="AO18" s="206">
        <f t="shared" si="7"/>
        <v>0</v>
      </c>
      <c r="AP18" s="206">
        <f t="shared" si="8"/>
        <v>0</v>
      </c>
      <c r="AQ18" s="206">
        <f t="shared" si="9"/>
        <v>0</v>
      </c>
      <c r="AR18" s="206">
        <f t="shared" si="10"/>
        <v>0</v>
      </c>
      <c r="AS18" s="206">
        <f t="shared" si="11"/>
        <v>0</v>
      </c>
      <c r="AT18" s="206">
        <f t="shared" si="12"/>
        <v>0</v>
      </c>
      <c r="AU18" s="206">
        <f t="shared" si="13"/>
        <v>0</v>
      </c>
      <c r="AV18" s="206">
        <f t="shared" si="14"/>
        <v>0</v>
      </c>
      <c r="AW18" s="206">
        <f t="shared" si="15"/>
        <v>0</v>
      </c>
      <c r="AX18" s="206">
        <f t="shared" si="16"/>
        <v>0</v>
      </c>
      <c r="AY18" s="206">
        <f t="shared" si="17"/>
        <v>0</v>
      </c>
      <c r="AZ18" s="206"/>
      <c r="BA18" s="134" t="str">
        <f>IF($BA$3=2,IF(AX18=8,"OK","NG"),IF(AX18=9,"OK","NG"))</f>
        <v>NG</v>
      </c>
      <c r="BC18" s="281">
        <f t="shared" ref="BC18:BH18" si="24">SUM(BC6:BC17)</f>
        <v>179</v>
      </c>
      <c r="BD18" s="281">
        <f t="shared" si="24"/>
        <v>4</v>
      </c>
      <c r="BE18" s="281">
        <f t="shared" si="24"/>
        <v>175</v>
      </c>
      <c r="BF18" s="281">
        <f t="shared" si="24"/>
        <v>60</v>
      </c>
      <c r="BG18" s="281">
        <f t="shared" si="24"/>
        <v>3</v>
      </c>
      <c r="BH18" s="281">
        <f t="shared" si="24"/>
        <v>112</v>
      </c>
      <c r="BI18" s="281">
        <f t="shared" ref="BI18:BK18" si="25">SUM(BI6:BI17)</f>
        <v>0</v>
      </c>
      <c r="BJ18" s="281">
        <f t="shared" si="25"/>
        <v>0</v>
      </c>
      <c r="BK18" s="281">
        <f t="shared" si="25"/>
        <v>30</v>
      </c>
      <c r="BL18" s="281"/>
    </row>
    <row r="19" spans="1:64" ht="35.25" customHeight="1" thickBot="1">
      <c r="A19" s="200"/>
      <c r="B19" s="165" t="s">
        <v>35</v>
      </c>
      <c r="C19" s="166" t="s">
        <v>39</v>
      </c>
      <c r="D19" s="305"/>
      <c r="E19" s="305"/>
      <c r="F19" s="305"/>
      <c r="G19" s="328"/>
      <c r="H19" s="319"/>
      <c r="I19" s="319"/>
      <c r="J19" s="319"/>
      <c r="K19" s="319"/>
      <c r="L19" s="319"/>
      <c r="M19" s="319"/>
      <c r="N19" s="319"/>
      <c r="O19" s="319"/>
      <c r="P19" s="319"/>
      <c r="Q19" s="319"/>
      <c r="R19" s="319"/>
      <c r="S19" s="319"/>
      <c r="T19" s="319"/>
      <c r="U19" s="319"/>
      <c r="V19" s="319"/>
      <c r="W19" s="319"/>
      <c r="X19" s="319"/>
      <c r="Y19" s="319"/>
      <c r="Z19" s="319"/>
      <c r="AA19" s="319"/>
      <c r="AB19" s="319"/>
      <c r="AC19" s="319"/>
      <c r="AD19" s="319"/>
      <c r="AE19" s="319"/>
      <c r="AF19" s="329"/>
      <c r="AG19" s="319"/>
      <c r="AH19" s="319"/>
      <c r="AI19" s="319"/>
      <c r="AJ19" s="319"/>
      <c r="AK19" s="153"/>
      <c r="AL19" s="204"/>
      <c r="AM19" s="206">
        <f t="shared" si="5"/>
        <v>0</v>
      </c>
      <c r="AN19" s="206">
        <f t="shared" si="6"/>
        <v>0</v>
      </c>
      <c r="AO19" s="206">
        <f t="shared" si="7"/>
        <v>0</v>
      </c>
      <c r="AP19" s="206">
        <f t="shared" si="8"/>
        <v>0</v>
      </c>
      <c r="AQ19" s="206">
        <f t="shared" si="9"/>
        <v>0</v>
      </c>
      <c r="AR19" s="206">
        <f t="shared" si="10"/>
        <v>0</v>
      </c>
      <c r="AS19" s="206">
        <f t="shared" si="11"/>
        <v>0</v>
      </c>
      <c r="AT19" s="206">
        <f t="shared" si="12"/>
        <v>0</v>
      </c>
      <c r="AU19" s="206">
        <f t="shared" si="13"/>
        <v>0</v>
      </c>
      <c r="AV19" s="206">
        <f t="shared" si="14"/>
        <v>0</v>
      </c>
      <c r="AW19" s="206">
        <f t="shared" si="15"/>
        <v>0</v>
      </c>
      <c r="AX19" s="206">
        <f t="shared" si="16"/>
        <v>0</v>
      </c>
      <c r="AY19" s="206">
        <f t="shared" si="17"/>
        <v>0</v>
      </c>
      <c r="AZ19" s="206">
        <v>15</v>
      </c>
      <c r="BA19" s="134" t="str">
        <f>IF(AY19&lt;=AZ19,"OK","NG")</f>
        <v>OK</v>
      </c>
      <c r="BC19" s="282" t="s">
        <v>13</v>
      </c>
      <c r="BD19" s="280">
        <v>25</v>
      </c>
      <c r="BE19" s="280"/>
      <c r="BH19" s="283">
        <f>SUM(BF18:BH18)</f>
        <v>175</v>
      </c>
    </row>
    <row r="20" spans="1:64" ht="35.25" customHeight="1">
      <c r="A20" s="200"/>
      <c r="B20" s="151" t="s">
        <v>36</v>
      </c>
      <c r="C20" s="152" t="s">
        <v>11</v>
      </c>
      <c r="D20" s="339"/>
      <c r="E20" s="340"/>
      <c r="F20" s="314"/>
      <c r="G20" s="330"/>
      <c r="H20" s="317"/>
      <c r="I20" s="317"/>
      <c r="J20" s="317"/>
      <c r="K20" s="317"/>
      <c r="L20" s="317"/>
      <c r="M20" s="317"/>
      <c r="N20" s="317"/>
      <c r="O20" s="317"/>
      <c r="P20" s="317"/>
      <c r="Q20" s="317"/>
      <c r="R20" s="317"/>
      <c r="S20" s="317"/>
      <c r="T20" s="317"/>
      <c r="U20" s="317"/>
      <c r="V20" s="317"/>
      <c r="W20" s="317"/>
      <c r="X20" s="317"/>
      <c r="Y20" s="317"/>
      <c r="Z20" s="317"/>
      <c r="AA20" s="317"/>
      <c r="AB20" s="317"/>
      <c r="AC20" s="317"/>
      <c r="AD20" s="317"/>
      <c r="AE20" s="317"/>
      <c r="AF20" s="317"/>
      <c r="AG20" s="317"/>
      <c r="AH20" s="317"/>
      <c r="AI20" s="317"/>
      <c r="AJ20" s="317"/>
      <c r="AK20" s="314"/>
      <c r="AL20" s="226"/>
      <c r="AM20" s="206">
        <f t="shared" si="5"/>
        <v>0</v>
      </c>
      <c r="AN20" s="206">
        <f t="shared" si="6"/>
        <v>0</v>
      </c>
      <c r="AO20" s="206">
        <f t="shared" si="7"/>
        <v>0</v>
      </c>
      <c r="AP20" s="206">
        <f t="shared" si="8"/>
        <v>0</v>
      </c>
      <c r="AQ20" s="206">
        <f t="shared" si="9"/>
        <v>0</v>
      </c>
      <c r="AR20" s="206">
        <f t="shared" si="10"/>
        <v>0</v>
      </c>
      <c r="AS20" s="206">
        <f t="shared" si="11"/>
        <v>0</v>
      </c>
      <c r="AT20" s="206">
        <f t="shared" si="12"/>
        <v>0</v>
      </c>
      <c r="AU20" s="206">
        <f t="shared" si="13"/>
        <v>0</v>
      </c>
      <c r="AV20" s="206">
        <f t="shared" si="14"/>
        <v>0</v>
      </c>
      <c r="AW20" s="206">
        <f t="shared" si="15"/>
        <v>0</v>
      </c>
      <c r="AX20" s="206">
        <f t="shared" si="16"/>
        <v>0</v>
      </c>
      <c r="AY20" s="206">
        <f t="shared" si="17"/>
        <v>0</v>
      </c>
      <c r="AZ20" s="206">
        <v>27</v>
      </c>
      <c r="BA20" s="134" t="str">
        <f t="shared" ref="BA20:BA23" si="26">IF(AY20&lt;=AZ20,"OK","NG")</f>
        <v>OK</v>
      </c>
      <c r="BC20" s="282" t="s">
        <v>58</v>
      </c>
      <c r="BD20" s="280">
        <v>30</v>
      </c>
      <c r="BE20" s="280"/>
    </row>
    <row r="21" spans="1:64" ht="35.25" customHeight="1">
      <c r="B21" s="155" t="s">
        <v>36</v>
      </c>
      <c r="C21" s="156" t="s">
        <v>12</v>
      </c>
      <c r="D21" s="337"/>
      <c r="E21" s="305"/>
      <c r="F21" s="311"/>
      <c r="G21" s="331"/>
      <c r="H21" s="332"/>
      <c r="I21" s="332"/>
      <c r="J21" s="332"/>
      <c r="K21" s="332"/>
      <c r="L21" s="333"/>
      <c r="M21" s="332"/>
      <c r="N21" s="332"/>
      <c r="O21" s="332"/>
      <c r="P21" s="332"/>
      <c r="Q21" s="332"/>
      <c r="R21" s="332"/>
      <c r="S21" s="332"/>
      <c r="T21" s="332"/>
      <c r="U21" s="332"/>
      <c r="V21" s="332"/>
      <c r="W21" s="332"/>
      <c r="X21" s="332"/>
      <c r="Y21" s="332"/>
      <c r="Z21" s="333"/>
      <c r="AA21" s="332"/>
      <c r="AB21" s="332"/>
      <c r="AC21" s="332"/>
      <c r="AD21" s="332"/>
      <c r="AE21" s="332"/>
      <c r="AF21" s="332"/>
      <c r="AG21" s="333"/>
      <c r="AH21" s="332"/>
      <c r="AI21" s="331"/>
      <c r="AJ21" s="332"/>
      <c r="AK21" s="311"/>
      <c r="AL21" s="226"/>
      <c r="AM21" s="206">
        <f t="shared" si="5"/>
        <v>0</v>
      </c>
      <c r="AN21" s="206">
        <f t="shared" si="6"/>
        <v>0</v>
      </c>
      <c r="AO21" s="206">
        <f t="shared" si="7"/>
        <v>0</v>
      </c>
      <c r="AP21" s="206">
        <f t="shared" si="8"/>
        <v>0</v>
      </c>
      <c r="AQ21" s="206">
        <f t="shared" si="9"/>
        <v>0</v>
      </c>
      <c r="AR21" s="206">
        <f t="shared" si="10"/>
        <v>0</v>
      </c>
      <c r="AS21" s="206">
        <f t="shared" si="11"/>
        <v>0</v>
      </c>
      <c r="AT21" s="206">
        <f t="shared" si="12"/>
        <v>0</v>
      </c>
      <c r="AU21" s="206">
        <f t="shared" si="13"/>
        <v>0</v>
      </c>
      <c r="AV21" s="206">
        <f t="shared" si="14"/>
        <v>0</v>
      </c>
      <c r="AW21" s="206">
        <f t="shared" si="15"/>
        <v>0</v>
      </c>
      <c r="AX21" s="206">
        <f t="shared" si="16"/>
        <v>0</v>
      </c>
      <c r="AY21" s="206">
        <f t="shared" si="17"/>
        <v>0</v>
      </c>
      <c r="AZ21" s="206">
        <v>15</v>
      </c>
      <c r="BA21" s="134" t="str">
        <f t="shared" si="26"/>
        <v>OK</v>
      </c>
      <c r="BC21" s="282" t="s">
        <v>1</v>
      </c>
      <c r="BD21" s="280">
        <v>30</v>
      </c>
      <c r="BE21" s="280"/>
    </row>
    <row r="22" spans="1:64" s="177" customFormat="1" ht="35.25" customHeight="1">
      <c r="A22" s="132"/>
      <c r="B22" s="155" t="s">
        <v>36</v>
      </c>
      <c r="C22" s="167" t="s">
        <v>18</v>
      </c>
      <c r="D22" s="337"/>
      <c r="E22" s="305"/>
      <c r="F22" s="311"/>
      <c r="G22" s="331"/>
      <c r="H22" s="319"/>
      <c r="I22" s="319"/>
      <c r="J22" s="319"/>
      <c r="K22" s="319"/>
      <c r="L22" s="319"/>
      <c r="M22" s="319"/>
      <c r="N22" s="319"/>
      <c r="O22" s="319"/>
      <c r="P22" s="319"/>
      <c r="Q22" s="319"/>
      <c r="R22" s="319"/>
      <c r="S22" s="319"/>
      <c r="T22" s="319"/>
      <c r="U22" s="319"/>
      <c r="V22" s="319"/>
      <c r="W22" s="319"/>
      <c r="X22" s="319"/>
      <c r="Y22" s="319"/>
      <c r="Z22" s="319"/>
      <c r="AA22" s="319"/>
      <c r="AB22" s="319"/>
      <c r="AC22" s="319"/>
      <c r="AD22" s="319"/>
      <c r="AE22" s="319"/>
      <c r="AF22" s="319"/>
      <c r="AG22" s="319"/>
      <c r="AH22" s="319"/>
      <c r="AI22" s="318"/>
      <c r="AJ22" s="319"/>
      <c r="AK22" s="311"/>
      <c r="AL22" s="231"/>
      <c r="AM22" s="206">
        <f t="shared" si="5"/>
        <v>0</v>
      </c>
      <c r="AN22" s="206">
        <f t="shared" si="6"/>
        <v>0</v>
      </c>
      <c r="AO22" s="206">
        <f t="shared" si="7"/>
        <v>0</v>
      </c>
      <c r="AP22" s="206">
        <f t="shared" si="8"/>
        <v>0</v>
      </c>
      <c r="AQ22" s="206">
        <f t="shared" si="9"/>
        <v>0</v>
      </c>
      <c r="AR22" s="206">
        <f t="shared" si="10"/>
        <v>0</v>
      </c>
      <c r="AS22" s="206">
        <f t="shared" si="11"/>
        <v>0</v>
      </c>
      <c r="AT22" s="206">
        <f t="shared" si="12"/>
        <v>0</v>
      </c>
      <c r="AU22" s="206">
        <f t="shared" si="13"/>
        <v>0</v>
      </c>
      <c r="AV22" s="206">
        <f t="shared" si="14"/>
        <v>0</v>
      </c>
      <c r="AW22" s="206">
        <f t="shared" si="15"/>
        <v>0</v>
      </c>
      <c r="AX22" s="206">
        <f t="shared" si="16"/>
        <v>0</v>
      </c>
      <c r="AY22" s="206">
        <f t="shared" si="17"/>
        <v>0</v>
      </c>
      <c r="AZ22" s="206">
        <v>15</v>
      </c>
      <c r="BA22" s="134" t="str">
        <f t="shared" si="26"/>
        <v>OK</v>
      </c>
      <c r="BB22" s="132"/>
      <c r="BC22" s="282" t="s">
        <v>59</v>
      </c>
      <c r="BD22" s="280">
        <v>30</v>
      </c>
      <c r="BE22" s="280">
        <f>SUM(BD19:BD22)</f>
        <v>115</v>
      </c>
      <c r="BF22" s="132"/>
      <c r="BG22" s="132"/>
      <c r="BH22" s="132"/>
      <c r="BI22" s="132"/>
    </row>
    <row r="23" spans="1:64" s="177" customFormat="1" ht="35" customHeight="1">
      <c r="A23" s="132"/>
      <c r="B23" s="155" t="s">
        <v>36</v>
      </c>
      <c r="C23" s="167" t="s">
        <v>98</v>
      </c>
      <c r="D23" s="305"/>
      <c r="E23" s="305"/>
      <c r="F23" s="311"/>
      <c r="G23" s="331"/>
      <c r="H23" s="319"/>
      <c r="I23" s="319"/>
      <c r="J23" s="319"/>
      <c r="K23" s="319"/>
      <c r="L23" s="319"/>
      <c r="M23" s="319"/>
      <c r="N23" s="319"/>
      <c r="O23" s="319"/>
      <c r="P23" s="319"/>
      <c r="Q23" s="319"/>
      <c r="R23" s="319"/>
      <c r="S23" s="319"/>
      <c r="T23" s="319"/>
      <c r="U23" s="319"/>
      <c r="V23" s="319"/>
      <c r="W23" s="319"/>
      <c r="X23" s="319"/>
      <c r="Y23" s="319"/>
      <c r="Z23" s="319"/>
      <c r="AA23" s="319"/>
      <c r="AB23" s="319"/>
      <c r="AC23" s="319"/>
      <c r="AD23" s="319"/>
      <c r="AE23" s="319"/>
      <c r="AF23" s="319"/>
      <c r="AG23" s="319"/>
      <c r="AH23" s="319"/>
      <c r="AI23" s="319"/>
      <c r="AJ23" s="319"/>
      <c r="AK23" s="157"/>
      <c r="AL23" s="231"/>
      <c r="AM23" s="206">
        <f t="shared" si="5"/>
        <v>0</v>
      </c>
      <c r="AN23" s="206">
        <f t="shared" si="6"/>
        <v>0</v>
      </c>
      <c r="AO23" s="206">
        <f t="shared" si="7"/>
        <v>0</v>
      </c>
      <c r="AP23" s="206">
        <f t="shared" si="8"/>
        <v>0</v>
      </c>
      <c r="AQ23" s="206">
        <f t="shared" si="9"/>
        <v>0</v>
      </c>
      <c r="AR23" s="206">
        <f t="shared" si="10"/>
        <v>0</v>
      </c>
      <c r="AS23" s="206">
        <f t="shared" si="11"/>
        <v>0</v>
      </c>
      <c r="AT23" s="206">
        <f t="shared" si="12"/>
        <v>0</v>
      </c>
      <c r="AU23" s="206">
        <f t="shared" si="13"/>
        <v>0</v>
      </c>
      <c r="AV23" s="206">
        <f t="shared" si="14"/>
        <v>0</v>
      </c>
      <c r="AW23" s="206">
        <f t="shared" si="15"/>
        <v>0</v>
      </c>
      <c r="AX23" s="206">
        <f t="shared" si="16"/>
        <v>0</v>
      </c>
      <c r="AY23" s="206">
        <f t="shared" si="17"/>
        <v>0</v>
      </c>
      <c r="AZ23" s="206">
        <v>15</v>
      </c>
      <c r="BA23" s="134" t="str">
        <f t="shared" si="26"/>
        <v>OK</v>
      </c>
      <c r="BB23" s="132"/>
      <c r="BC23" s="282" t="s">
        <v>87</v>
      </c>
      <c r="BD23" s="280">
        <v>30</v>
      </c>
      <c r="BE23" s="280"/>
      <c r="BF23" s="132"/>
      <c r="BG23" s="132"/>
      <c r="BH23" s="132"/>
      <c r="BI23" s="132"/>
    </row>
    <row r="24" spans="1:64" s="177" customFormat="1" ht="35" customHeight="1">
      <c r="A24" s="132"/>
      <c r="B24" s="155" t="s">
        <v>36</v>
      </c>
      <c r="C24" s="167" t="s">
        <v>49</v>
      </c>
      <c r="D24" s="337"/>
      <c r="E24" s="305"/>
      <c r="F24" s="311"/>
      <c r="G24" s="331"/>
      <c r="H24" s="319"/>
      <c r="I24" s="319"/>
      <c r="J24" s="319"/>
      <c r="K24" s="319"/>
      <c r="L24" s="319"/>
      <c r="M24" s="319"/>
      <c r="N24" s="319"/>
      <c r="O24" s="319"/>
      <c r="P24" s="319"/>
      <c r="Q24" s="319"/>
      <c r="R24" s="319"/>
      <c r="S24" s="319"/>
      <c r="T24" s="319"/>
      <c r="U24" s="319"/>
      <c r="V24" s="319"/>
      <c r="W24" s="319"/>
      <c r="X24" s="319"/>
      <c r="Y24" s="319"/>
      <c r="Z24" s="319"/>
      <c r="AA24" s="319"/>
      <c r="AB24" s="319"/>
      <c r="AC24" s="319"/>
      <c r="AD24" s="319"/>
      <c r="AE24" s="319"/>
      <c r="AF24" s="319"/>
      <c r="AG24" s="319"/>
      <c r="AH24" s="319"/>
      <c r="AI24" s="318"/>
      <c r="AJ24" s="319"/>
      <c r="AK24" s="157"/>
      <c r="AL24" s="231"/>
      <c r="AM24" s="206">
        <f t="shared" si="5"/>
        <v>0</v>
      </c>
      <c r="AN24" s="206">
        <f t="shared" si="6"/>
        <v>0</v>
      </c>
      <c r="AO24" s="206">
        <f t="shared" si="7"/>
        <v>0</v>
      </c>
      <c r="AP24" s="206">
        <f t="shared" si="8"/>
        <v>0</v>
      </c>
      <c r="AQ24" s="206">
        <f t="shared" si="9"/>
        <v>0</v>
      </c>
      <c r="AR24" s="206">
        <f t="shared" si="10"/>
        <v>0</v>
      </c>
      <c r="AS24" s="206">
        <f t="shared" si="11"/>
        <v>0</v>
      </c>
      <c r="AT24" s="206">
        <f t="shared" si="12"/>
        <v>0</v>
      </c>
      <c r="AU24" s="206">
        <f t="shared" si="13"/>
        <v>0</v>
      </c>
      <c r="AV24" s="206">
        <f t="shared" si="14"/>
        <v>0</v>
      </c>
      <c r="AW24" s="206">
        <f t="shared" si="15"/>
        <v>0</v>
      </c>
      <c r="AX24" s="206">
        <f t="shared" si="16"/>
        <v>0</v>
      </c>
      <c r="AY24" s="206">
        <f t="shared" si="17"/>
        <v>0</v>
      </c>
      <c r="AZ24" s="206"/>
      <c r="BA24" s="134"/>
      <c r="BB24" s="132"/>
      <c r="BC24" s="282" t="s">
        <v>88</v>
      </c>
      <c r="BD24" s="280">
        <v>30</v>
      </c>
      <c r="BE24" s="280"/>
      <c r="BF24" s="132"/>
      <c r="BG24" s="132"/>
      <c r="BH24" s="132"/>
      <c r="BI24" s="132"/>
    </row>
    <row r="25" spans="1:64" ht="35" customHeight="1" thickBot="1">
      <c r="B25" s="168" t="s">
        <v>36</v>
      </c>
      <c r="C25" s="169" t="s">
        <v>73</v>
      </c>
      <c r="D25" s="301"/>
      <c r="E25" s="300"/>
      <c r="F25" s="315"/>
      <c r="G25" s="334"/>
      <c r="H25" s="335"/>
      <c r="I25" s="335"/>
      <c r="J25" s="335"/>
      <c r="K25" s="335"/>
      <c r="L25" s="335"/>
      <c r="M25" s="335"/>
      <c r="N25" s="335"/>
      <c r="O25" s="335"/>
      <c r="P25" s="335"/>
      <c r="Q25" s="335"/>
      <c r="R25" s="335"/>
      <c r="S25" s="335"/>
      <c r="T25" s="335"/>
      <c r="U25" s="335"/>
      <c r="V25" s="335"/>
      <c r="W25" s="335"/>
      <c r="X25" s="335"/>
      <c r="Y25" s="335"/>
      <c r="Z25" s="335"/>
      <c r="AA25" s="335"/>
      <c r="AB25" s="335"/>
      <c r="AC25" s="335"/>
      <c r="AD25" s="335"/>
      <c r="AE25" s="335"/>
      <c r="AF25" s="335"/>
      <c r="AG25" s="335"/>
      <c r="AH25" s="335"/>
      <c r="AI25" s="336"/>
      <c r="AJ25" s="335"/>
      <c r="AK25" s="170"/>
      <c r="AL25" s="188"/>
      <c r="AM25" s="206">
        <f t="shared" si="5"/>
        <v>0</v>
      </c>
      <c r="AN25" s="206">
        <f t="shared" si="6"/>
        <v>0</v>
      </c>
      <c r="AO25" s="206">
        <f t="shared" si="7"/>
        <v>0</v>
      </c>
      <c r="AP25" s="206">
        <f t="shared" si="8"/>
        <v>0</v>
      </c>
      <c r="AQ25" s="206">
        <f t="shared" si="9"/>
        <v>0</v>
      </c>
      <c r="AR25" s="206">
        <f t="shared" si="10"/>
        <v>0</v>
      </c>
      <c r="AS25" s="206">
        <f t="shared" si="11"/>
        <v>0</v>
      </c>
      <c r="AT25" s="206">
        <f t="shared" si="12"/>
        <v>0</v>
      </c>
      <c r="AU25" s="206">
        <f t="shared" si="13"/>
        <v>0</v>
      </c>
      <c r="AV25" s="206">
        <f t="shared" si="14"/>
        <v>0</v>
      </c>
      <c r="AW25" s="206">
        <f t="shared" si="15"/>
        <v>0</v>
      </c>
      <c r="AX25" s="206">
        <f t="shared" si="16"/>
        <v>0</v>
      </c>
      <c r="AY25" s="206">
        <f t="shared" si="17"/>
        <v>0</v>
      </c>
      <c r="AZ25" s="206"/>
      <c r="BA25" s="134"/>
      <c r="BC25" s="282" t="s">
        <v>89</v>
      </c>
      <c r="BD25" s="280">
        <f>SUM(BD19:BD24)</f>
        <v>175</v>
      </c>
      <c r="BE25" s="280"/>
    </row>
    <row r="26" spans="1:64" ht="34.5" customHeight="1" thickBot="1">
      <c r="B26" s="177"/>
      <c r="C26" s="241"/>
      <c r="D26" s="241"/>
      <c r="E26" s="241"/>
      <c r="F26" s="241"/>
      <c r="G26" s="242"/>
      <c r="H26" s="243"/>
      <c r="I26" s="243"/>
      <c r="J26" s="244"/>
      <c r="K26" s="243"/>
      <c r="L26" s="244"/>
      <c r="M26" s="241"/>
      <c r="N26" s="241"/>
      <c r="O26" s="242"/>
      <c r="P26" s="243"/>
      <c r="Q26" s="243"/>
      <c r="R26" s="243"/>
      <c r="S26" s="243"/>
      <c r="T26" s="244"/>
      <c r="U26" s="241"/>
      <c r="V26" s="242"/>
      <c r="W26" s="241"/>
      <c r="X26" s="241"/>
      <c r="Y26" s="241"/>
      <c r="Z26" s="241"/>
      <c r="AA26" s="243"/>
      <c r="AB26" s="243"/>
      <c r="AC26" s="243"/>
      <c r="AD26" s="243"/>
      <c r="AE26" s="242"/>
      <c r="AF26" s="243"/>
      <c r="AG26" s="243"/>
      <c r="AH26" s="243"/>
      <c r="AI26" s="243"/>
      <c r="AJ26" s="177"/>
      <c r="AK26" s="177"/>
      <c r="AM26" s="206">
        <f t="shared" ref="AM26:AS26" si="27">SUM(AM6:AM25)</f>
        <v>0</v>
      </c>
      <c r="AN26" s="206">
        <f t="shared" si="27"/>
        <v>0</v>
      </c>
      <c r="AO26" s="206">
        <f t="shared" si="27"/>
        <v>0</v>
      </c>
      <c r="AP26" s="206">
        <f t="shared" si="27"/>
        <v>0</v>
      </c>
      <c r="AQ26" s="206">
        <f t="shared" si="27"/>
        <v>0</v>
      </c>
      <c r="AR26" s="206">
        <f t="shared" si="27"/>
        <v>0</v>
      </c>
      <c r="AS26" s="206">
        <f t="shared" si="27"/>
        <v>0</v>
      </c>
      <c r="AT26" s="206">
        <f t="shared" ref="AT26" si="28">COUNTIF($G26:$AK26,"研")+COUNTIF($G26:$AK26,"健")</f>
        <v>0</v>
      </c>
      <c r="AU26" s="206">
        <f t="shared" ref="AU26:AX26" si="29">SUM(AU6:AU25)</f>
        <v>0</v>
      </c>
      <c r="AV26" s="206">
        <f t="shared" si="29"/>
        <v>0</v>
      </c>
      <c r="AW26" s="206">
        <f t="shared" si="29"/>
        <v>0</v>
      </c>
      <c r="AX26" s="206">
        <f t="shared" si="29"/>
        <v>0</v>
      </c>
      <c r="AY26" s="206">
        <f t="shared" si="17"/>
        <v>0</v>
      </c>
      <c r="AZ26" s="206"/>
      <c r="BA26" s="134"/>
    </row>
    <row r="27" spans="1:64" ht="30" customHeight="1">
      <c r="B27" s="372" t="s">
        <v>52</v>
      </c>
      <c r="C27" s="288" t="s">
        <v>97</v>
      </c>
      <c r="D27" s="252"/>
      <c r="E27" s="252"/>
      <c r="F27" s="252"/>
      <c r="G27" s="246">
        <f>COUNTIF(G$6:G$15,"Ａ")</f>
        <v>0</v>
      </c>
      <c r="H27" s="246">
        <f t="shared" ref="H27:AK27" si="30">COUNTIF(H$6:H$15,"Ａ")</f>
        <v>0</v>
      </c>
      <c r="I27" s="246">
        <f t="shared" si="30"/>
        <v>0</v>
      </c>
      <c r="J27" s="246">
        <f t="shared" si="30"/>
        <v>0</v>
      </c>
      <c r="K27" s="246">
        <f t="shared" si="30"/>
        <v>0</v>
      </c>
      <c r="L27" s="246">
        <f t="shared" si="30"/>
        <v>0</v>
      </c>
      <c r="M27" s="246">
        <f t="shared" si="30"/>
        <v>0</v>
      </c>
      <c r="N27" s="246">
        <f t="shared" si="30"/>
        <v>0</v>
      </c>
      <c r="O27" s="246">
        <f t="shared" si="30"/>
        <v>0</v>
      </c>
      <c r="P27" s="246">
        <f t="shared" si="30"/>
        <v>0</v>
      </c>
      <c r="Q27" s="246">
        <f t="shared" si="30"/>
        <v>0</v>
      </c>
      <c r="R27" s="246">
        <f t="shared" si="30"/>
        <v>0</v>
      </c>
      <c r="S27" s="246">
        <f t="shared" si="30"/>
        <v>0</v>
      </c>
      <c r="T27" s="246">
        <f t="shared" si="30"/>
        <v>0</v>
      </c>
      <c r="U27" s="246">
        <f t="shared" si="30"/>
        <v>0</v>
      </c>
      <c r="V27" s="246">
        <f t="shared" si="30"/>
        <v>0</v>
      </c>
      <c r="W27" s="246">
        <f t="shared" si="30"/>
        <v>0</v>
      </c>
      <c r="X27" s="246">
        <f t="shared" si="30"/>
        <v>0</v>
      </c>
      <c r="Y27" s="246">
        <f t="shared" si="30"/>
        <v>0</v>
      </c>
      <c r="Z27" s="246">
        <f t="shared" si="30"/>
        <v>0</v>
      </c>
      <c r="AA27" s="246">
        <f t="shared" si="30"/>
        <v>0</v>
      </c>
      <c r="AB27" s="246">
        <f t="shared" si="30"/>
        <v>0</v>
      </c>
      <c r="AC27" s="246">
        <f t="shared" si="30"/>
        <v>0</v>
      </c>
      <c r="AD27" s="246">
        <f t="shared" si="30"/>
        <v>0</v>
      </c>
      <c r="AE27" s="246">
        <f t="shared" si="30"/>
        <v>0</v>
      </c>
      <c r="AF27" s="246">
        <f t="shared" si="30"/>
        <v>0</v>
      </c>
      <c r="AG27" s="246">
        <f t="shared" si="30"/>
        <v>0</v>
      </c>
      <c r="AH27" s="246">
        <f t="shared" si="30"/>
        <v>0</v>
      </c>
      <c r="AI27" s="246">
        <f t="shared" si="30"/>
        <v>0</v>
      </c>
      <c r="AJ27" s="246">
        <f t="shared" si="30"/>
        <v>0</v>
      </c>
      <c r="AK27" s="246">
        <f t="shared" si="30"/>
        <v>0</v>
      </c>
      <c r="AM27" s="245"/>
      <c r="AN27" s="245"/>
      <c r="AO27" s="245"/>
      <c r="AP27" s="245"/>
      <c r="AQ27" s="245"/>
      <c r="AR27" s="245">
        <f>SUM(AM26:AR26)</f>
        <v>0</v>
      </c>
      <c r="AS27" s="245"/>
      <c r="AT27" s="245"/>
      <c r="AU27" s="245"/>
      <c r="AV27" s="245"/>
      <c r="AW27" s="245"/>
      <c r="AX27" s="245"/>
      <c r="AY27" s="245"/>
      <c r="AZ27" s="245"/>
    </row>
    <row r="28" spans="1:64" ht="30" customHeight="1">
      <c r="B28" s="373"/>
      <c r="C28" s="253" t="s">
        <v>37</v>
      </c>
      <c r="D28" s="252"/>
      <c r="E28" s="252"/>
      <c r="F28" s="252"/>
      <c r="G28" s="246">
        <f>COUNTIF(G$6:G$15,"Ｂ")</f>
        <v>0</v>
      </c>
      <c r="H28" s="246">
        <f t="shared" ref="H28:AK28" si="31">COUNTIF(H$6:H$15,"Ｂ")</f>
        <v>0</v>
      </c>
      <c r="I28" s="246">
        <f t="shared" si="31"/>
        <v>0</v>
      </c>
      <c r="J28" s="246">
        <f t="shared" si="31"/>
        <v>0</v>
      </c>
      <c r="K28" s="246">
        <f t="shared" si="31"/>
        <v>0</v>
      </c>
      <c r="L28" s="246">
        <f t="shared" si="31"/>
        <v>0</v>
      </c>
      <c r="M28" s="246">
        <f t="shared" si="31"/>
        <v>0</v>
      </c>
      <c r="N28" s="246">
        <f t="shared" si="31"/>
        <v>0</v>
      </c>
      <c r="O28" s="246">
        <f t="shared" si="31"/>
        <v>0</v>
      </c>
      <c r="P28" s="246">
        <f t="shared" si="31"/>
        <v>0</v>
      </c>
      <c r="Q28" s="246">
        <f t="shared" si="31"/>
        <v>0</v>
      </c>
      <c r="R28" s="246">
        <f t="shared" si="31"/>
        <v>0</v>
      </c>
      <c r="S28" s="246">
        <f t="shared" si="31"/>
        <v>0</v>
      </c>
      <c r="T28" s="246">
        <f t="shared" si="31"/>
        <v>0</v>
      </c>
      <c r="U28" s="246">
        <f t="shared" si="31"/>
        <v>0</v>
      </c>
      <c r="V28" s="246">
        <f t="shared" si="31"/>
        <v>0</v>
      </c>
      <c r="W28" s="246">
        <f t="shared" si="31"/>
        <v>0</v>
      </c>
      <c r="X28" s="246">
        <f t="shared" si="31"/>
        <v>0</v>
      </c>
      <c r="Y28" s="246">
        <f t="shared" si="31"/>
        <v>0</v>
      </c>
      <c r="Z28" s="246">
        <f t="shared" si="31"/>
        <v>0</v>
      </c>
      <c r="AA28" s="246">
        <f t="shared" si="31"/>
        <v>0</v>
      </c>
      <c r="AB28" s="246">
        <f t="shared" si="31"/>
        <v>0</v>
      </c>
      <c r="AC28" s="246">
        <f t="shared" si="31"/>
        <v>0</v>
      </c>
      <c r="AD28" s="246">
        <f t="shared" si="31"/>
        <v>0</v>
      </c>
      <c r="AE28" s="246">
        <f t="shared" si="31"/>
        <v>0</v>
      </c>
      <c r="AF28" s="246">
        <f t="shared" si="31"/>
        <v>0</v>
      </c>
      <c r="AG28" s="246">
        <f t="shared" si="31"/>
        <v>0</v>
      </c>
      <c r="AH28" s="246">
        <f t="shared" si="31"/>
        <v>0</v>
      </c>
      <c r="AI28" s="246">
        <f t="shared" si="31"/>
        <v>0</v>
      </c>
      <c r="AJ28" s="246">
        <f t="shared" si="31"/>
        <v>0</v>
      </c>
      <c r="AK28" s="246">
        <f t="shared" si="31"/>
        <v>0</v>
      </c>
      <c r="AM28" s="245" cm="1">
        <f t="array" aca="1" ref="AM28" ca="1">SUMPRODUCT((A1:A10)*(CELL("color", A1:A10)=7))</f>
        <v>0</v>
      </c>
      <c r="AN28" s="246"/>
      <c r="AO28" s="246"/>
      <c r="AP28" s="245"/>
      <c r="AQ28" s="254"/>
      <c r="AR28" s="245"/>
      <c r="AS28" s="246"/>
      <c r="AT28" s="245"/>
      <c r="AU28" s="245"/>
      <c r="AV28" s="245"/>
      <c r="AW28" s="246"/>
      <c r="AX28" s="246"/>
      <c r="AY28" s="245"/>
      <c r="AZ28" s="245"/>
    </row>
    <row r="29" spans="1:64" ht="30" customHeight="1">
      <c r="B29" s="373"/>
      <c r="C29" s="253" t="s">
        <v>75</v>
      </c>
      <c r="D29" s="252"/>
      <c r="E29" s="252"/>
      <c r="F29" s="252"/>
      <c r="G29" s="246">
        <f>COUNTIF(G$6:G$15,"Ｃ")</f>
        <v>0</v>
      </c>
      <c r="H29" s="246">
        <f t="shared" ref="H29:AK29" si="32">COUNTIF(H$6:H$15,"Ｃ")</f>
        <v>0</v>
      </c>
      <c r="I29" s="246">
        <f t="shared" si="32"/>
        <v>0</v>
      </c>
      <c r="J29" s="246">
        <f t="shared" si="32"/>
        <v>0</v>
      </c>
      <c r="K29" s="246">
        <f t="shared" si="32"/>
        <v>0</v>
      </c>
      <c r="L29" s="246">
        <f t="shared" si="32"/>
        <v>0</v>
      </c>
      <c r="M29" s="246">
        <f t="shared" si="32"/>
        <v>0</v>
      </c>
      <c r="N29" s="246">
        <f t="shared" si="32"/>
        <v>0</v>
      </c>
      <c r="O29" s="246">
        <f t="shared" si="32"/>
        <v>0</v>
      </c>
      <c r="P29" s="246">
        <f t="shared" si="32"/>
        <v>0</v>
      </c>
      <c r="Q29" s="246">
        <f t="shared" si="32"/>
        <v>0</v>
      </c>
      <c r="R29" s="246">
        <f t="shared" si="32"/>
        <v>0</v>
      </c>
      <c r="S29" s="246">
        <f t="shared" si="32"/>
        <v>0</v>
      </c>
      <c r="T29" s="246">
        <f t="shared" si="32"/>
        <v>0</v>
      </c>
      <c r="U29" s="246">
        <f t="shared" si="32"/>
        <v>0</v>
      </c>
      <c r="V29" s="246">
        <f t="shared" si="32"/>
        <v>0</v>
      </c>
      <c r="W29" s="246">
        <f t="shared" si="32"/>
        <v>0</v>
      </c>
      <c r="X29" s="246">
        <f t="shared" si="32"/>
        <v>0</v>
      </c>
      <c r="Y29" s="246">
        <f t="shared" si="32"/>
        <v>0</v>
      </c>
      <c r="Z29" s="246">
        <f t="shared" si="32"/>
        <v>0</v>
      </c>
      <c r="AA29" s="246">
        <f t="shared" si="32"/>
        <v>0</v>
      </c>
      <c r="AB29" s="246">
        <f t="shared" si="32"/>
        <v>0</v>
      </c>
      <c r="AC29" s="246">
        <f t="shared" si="32"/>
        <v>0</v>
      </c>
      <c r="AD29" s="246">
        <f t="shared" si="32"/>
        <v>0</v>
      </c>
      <c r="AE29" s="246">
        <f t="shared" si="32"/>
        <v>0</v>
      </c>
      <c r="AF29" s="246">
        <f t="shared" si="32"/>
        <v>0</v>
      </c>
      <c r="AG29" s="246">
        <f t="shared" si="32"/>
        <v>0</v>
      </c>
      <c r="AH29" s="246">
        <f t="shared" si="32"/>
        <v>0</v>
      </c>
      <c r="AI29" s="246">
        <f t="shared" si="32"/>
        <v>0</v>
      </c>
      <c r="AJ29" s="246">
        <f t="shared" si="32"/>
        <v>0</v>
      </c>
      <c r="AK29" s="246">
        <f t="shared" si="32"/>
        <v>0</v>
      </c>
      <c r="AM29" s="245"/>
      <c r="AN29" s="246"/>
      <c r="AO29" s="246"/>
      <c r="AP29" s="245"/>
      <c r="AQ29" s="245"/>
      <c r="AR29" s="245"/>
      <c r="AS29" s="246"/>
      <c r="AT29" s="245"/>
      <c r="AU29" s="245"/>
      <c r="AV29" s="245"/>
      <c r="AW29" s="245"/>
      <c r="AX29" s="245"/>
      <c r="AY29" s="245"/>
      <c r="AZ29" s="245"/>
    </row>
    <row r="30" spans="1:64" ht="30" customHeight="1">
      <c r="B30" s="373"/>
      <c r="C30" s="253" t="s">
        <v>70</v>
      </c>
      <c r="D30" s="252"/>
      <c r="E30" s="252"/>
      <c r="F30" s="252"/>
      <c r="G30" s="246">
        <f>COUNTIF(G$6:G$15,"Ｄ")</f>
        <v>0</v>
      </c>
      <c r="H30" s="246">
        <f t="shared" ref="H30:AK30" si="33">COUNTIF(H$6:H$15,"Ｄ")</f>
        <v>0</v>
      </c>
      <c r="I30" s="246">
        <f t="shared" si="33"/>
        <v>0</v>
      </c>
      <c r="J30" s="246">
        <f t="shared" si="33"/>
        <v>0</v>
      </c>
      <c r="K30" s="246">
        <f t="shared" si="33"/>
        <v>0</v>
      </c>
      <c r="L30" s="246">
        <f t="shared" si="33"/>
        <v>0</v>
      </c>
      <c r="M30" s="246">
        <f t="shared" si="33"/>
        <v>0</v>
      </c>
      <c r="N30" s="246">
        <f t="shared" si="33"/>
        <v>0</v>
      </c>
      <c r="O30" s="246">
        <f t="shared" si="33"/>
        <v>0</v>
      </c>
      <c r="P30" s="246">
        <f t="shared" si="33"/>
        <v>0</v>
      </c>
      <c r="Q30" s="246">
        <f t="shared" si="33"/>
        <v>0</v>
      </c>
      <c r="R30" s="246">
        <f t="shared" si="33"/>
        <v>0</v>
      </c>
      <c r="S30" s="246">
        <f t="shared" si="33"/>
        <v>0</v>
      </c>
      <c r="T30" s="246">
        <f t="shared" si="33"/>
        <v>0</v>
      </c>
      <c r="U30" s="246">
        <f t="shared" si="33"/>
        <v>0</v>
      </c>
      <c r="V30" s="246">
        <f t="shared" si="33"/>
        <v>0</v>
      </c>
      <c r="W30" s="246">
        <f t="shared" si="33"/>
        <v>0</v>
      </c>
      <c r="X30" s="246">
        <f t="shared" si="33"/>
        <v>0</v>
      </c>
      <c r="Y30" s="246">
        <f t="shared" si="33"/>
        <v>0</v>
      </c>
      <c r="Z30" s="246">
        <f t="shared" si="33"/>
        <v>0</v>
      </c>
      <c r="AA30" s="246">
        <f t="shared" si="33"/>
        <v>0</v>
      </c>
      <c r="AB30" s="246">
        <f t="shared" si="33"/>
        <v>0</v>
      </c>
      <c r="AC30" s="246">
        <f t="shared" si="33"/>
        <v>0</v>
      </c>
      <c r="AD30" s="246">
        <f t="shared" si="33"/>
        <v>0</v>
      </c>
      <c r="AE30" s="246">
        <f t="shared" si="33"/>
        <v>0</v>
      </c>
      <c r="AF30" s="246">
        <f t="shared" si="33"/>
        <v>0</v>
      </c>
      <c r="AG30" s="246">
        <f t="shared" si="33"/>
        <v>0</v>
      </c>
      <c r="AH30" s="246">
        <f t="shared" si="33"/>
        <v>0</v>
      </c>
      <c r="AI30" s="246">
        <f t="shared" si="33"/>
        <v>0</v>
      </c>
      <c r="AJ30" s="246">
        <f t="shared" si="33"/>
        <v>0</v>
      </c>
      <c r="AK30" s="246">
        <f t="shared" si="33"/>
        <v>0</v>
      </c>
      <c r="AM30" s="245"/>
      <c r="AN30" s="246"/>
      <c r="AO30" s="246"/>
      <c r="AP30" s="245"/>
      <c r="AQ30" s="245"/>
      <c r="AR30" s="245"/>
      <c r="AS30" s="246"/>
      <c r="AT30" s="245"/>
      <c r="AU30" s="245"/>
      <c r="AV30" s="245"/>
      <c r="AW30" s="245"/>
      <c r="AX30" s="245"/>
      <c r="AY30" s="245"/>
      <c r="AZ30" s="245"/>
    </row>
    <row r="31" spans="1:64" ht="30" customHeight="1">
      <c r="B31" s="373"/>
      <c r="C31" s="253" t="s">
        <v>71</v>
      </c>
      <c r="D31" s="252"/>
      <c r="E31" s="252"/>
      <c r="F31" s="252"/>
      <c r="G31" s="246">
        <f>COUNTIF(G$6:G$15,"夜")</f>
        <v>0</v>
      </c>
      <c r="H31" s="246">
        <f t="shared" ref="H31:AK31" si="34">COUNTIF(H$6:H$15,"夜")</f>
        <v>0</v>
      </c>
      <c r="I31" s="246">
        <f t="shared" si="34"/>
        <v>0</v>
      </c>
      <c r="J31" s="246">
        <f t="shared" si="34"/>
        <v>0</v>
      </c>
      <c r="K31" s="246">
        <f t="shared" si="34"/>
        <v>0</v>
      </c>
      <c r="L31" s="246">
        <f t="shared" si="34"/>
        <v>0</v>
      </c>
      <c r="M31" s="246">
        <f t="shared" si="34"/>
        <v>0</v>
      </c>
      <c r="N31" s="246">
        <f t="shared" si="34"/>
        <v>0</v>
      </c>
      <c r="O31" s="246">
        <f t="shared" si="34"/>
        <v>0</v>
      </c>
      <c r="P31" s="246">
        <f t="shared" si="34"/>
        <v>0</v>
      </c>
      <c r="Q31" s="246">
        <f t="shared" si="34"/>
        <v>0</v>
      </c>
      <c r="R31" s="246">
        <f t="shared" si="34"/>
        <v>0</v>
      </c>
      <c r="S31" s="246">
        <f t="shared" si="34"/>
        <v>0</v>
      </c>
      <c r="T31" s="246">
        <f t="shared" si="34"/>
        <v>0</v>
      </c>
      <c r="U31" s="246">
        <f t="shared" si="34"/>
        <v>0</v>
      </c>
      <c r="V31" s="246">
        <f t="shared" si="34"/>
        <v>0</v>
      </c>
      <c r="W31" s="246">
        <f t="shared" si="34"/>
        <v>0</v>
      </c>
      <c r="X31" s="246">
        <f t="shared" si="34"/>
        <v>0</v>
      </c>
      <c r="Y31" s="246">
        <f t="shared" si="34"/>
        <v>0</v>
      </c>
      <c r="Z31" s="246">
        <f t="shared" si="34"/>
        <v>0</v>
      </c>
      <c r="AA31" s="246">
        <f t="shared" si="34"/>
        <v>0</v>
      </c>
      <c r="AB31" s="246">
        <f t="shared" si="34"/>
        <v>0</v>
      </c>
      <c r="AC31" s="246">
        <f t="shared" si="34"/>
        <v>0</v>
      </c>
      <c r="AD31" s="246">
        <f t="shared" si="34"/>
        <v>0</v>
      </c>
      <c r="AE31" s="246">
        <f t="shared" si="34"/>
        <v>0</v>
      </c>
      <c r="AF31" s="246">
        <f t="shared" si="34"/>
        <v>0</v>
      </c>
      <c r="AG31" s="246">
        <f t="shared" si="34"/>
        <v>0</v>
      </c>
      <c r="AH31" s="246">
        <f t="shared" si="34"/>
        <v>0</v>
      </c>
      <c r="AI31" s="246">
        <f t="shared" si="34"/>
        <v>0</v>
      </c>
      <c r="AJ31" s="246">
        <f t="shared" si="34"/>
        <v>0</v>
      </c>
      <c r="AK31" s="246">
        <f t="shared" si="34"/>
        <v>0</v>
      </c>
      <c r="AM31" s="245"/>
      <c r="AN31" s="246"/>
      <c r="AO31" s="246"/>
      <c r="AP31" s="245"/>
      <c r="AQ31" s="247"/>
      <c r="AR31" s="245"/>
      <c r="AS31" s="246"/>
      <c r="AT31" s="245"/>
      <c r="AU31" s="245"/>
      <c r="AV31" s="245"/>
      <c r="AW31" s="245"/>
      <c r="AX31" s="245"/>
      <c r="AY31" s="245"/>
      <c r="AZ31" s="245"/>
    </row>
    <row r="32" spans="1:64" ht="30" customHeight="1">
      <c r="B32" s="373"/>
      <c r="C32" s="253" t="s">
        <v>72</v>
      </c>
      <c r="D32" s="252"/>
      <c r="E32" s="252"/>
      <c r="F32" s="252"/>
      <c r="G32" s="246">
        <f>COUNTIF(G$6:G$15,"明")</f>
        <v>0</v>
      </c>
      <c r="H32" s="246">
        <f t="shared" ref="H32:AK32" si="35">COUNTIF(H$6:H$15,"明")</f>
        <v>0</v>
      </c>
      <c r="I32" s="246">
        <f t="shared" si="35"/>
        <v>0</v>
      </c>
      <c r="J32" s="246">
        <f t="shared" si="35"/>
        <v>0</v>
      </c>
      <c r="K32" s="246">
        <f t="shared" si="35"/>
        <v>0</v>
      </c>
      <c r="L32" s="246">
        <f t="shared" si="35"/>
        <v>0</v>
      </c>
      <c r="M32" s="246">
        <f t="shared" si="35"/>
        <v>0</v>
      </c>
      <c r="N32" s="246">
        <f t="shared" si="35"/>
        <v>0</v>
      </c>
      <c r="O32" s="246">
        <f t="shared" si="35"/>
        <v>0</v>
      </c>
      <c r="P32" s="246">
        <f t="shared" si="35"/>
        <v>0</v>
      </c>
      <c r="Q32" s="246">
        <f t="shared" si="35"/>
        <v>0</v>
      </c>
      <c r="R32" s="246">
        <f t="shared" si="35"/>
        <v>0</v>
      </c>
      <c r="S32" s="246">
        <f t="shared" si="35"/>
        <v>0</v>
      </c>
      <c r="T32" s="246">
        <f t="shared" si="35"/>
        <v>0</v>
      </c>
      <c r="U32" s="246">
        <f t="shared" si="35"/>
        <v>0</v>
      </c>
      <c r="V32" s="246">
        <f t="shared" si="35"/>
        <v>0</v>
      </c>
      <c r="W32" s="246">
        <f t="shared" si="35"/>
        <v>0</v>
      </c>
      <c r="X32" s="246">
        <f t="shared" si="35"/>
        <v>0</v>
      </c>
      <c r="Y32" s="246">
        <f t="shared" si="35"/>
        <v>0</v>
      </c>
      <c r="Z32" s="246">
        <f t="shared" si="35"/>
        <v>0</v>
      </c>
      <c r="AA32" s="246">
        <f t="shared" si="35"/>
        <v>0</v>
      </c>
      <c r="AB32" s="246">
        <f t="shared" si="35"/>
        <v>0</v>
      </c>
      <c r="AC32" s="246">
        <f t="shared" si="35"/>
        <v>0</v>
      </c>
      <c r="AD32" s="246">
        <f t="shared" si="35"/>
        <v>0</v>
      </c>
      <c r="AE32" s="246">
        <f t="shared" si="35"/>
        <v>0</v>
      </c>
      <c r="AF32" s="246">
        <f t="shared" si="35"/>
        <v>0</v>
      </c>
      <c r="AG32" s="246">
        <f t="shared" si="35"/>
        <v>0</v>
      </c>
      <c r="AH32" s="246">
        <f t="shared" si="35"/>
        <v>0</v>
      </c>
      <c r="AI32" s="246">
        <f t="shared" si="35"/>
        <v>0</v>
      </c>
      <c r="AJ32" s="246">
        <f t="shared" si="35"/>
        <v>0</v>
      </c>
      <c r="AK32" s="246">
        <f t="shared" si="35"/>
        <v>0</v>
      </c>
      <c r="AM32" s="245"/>
      <c r="AN32" s="246"/>
      <c r="AO32" s="246"/>
      <c r="AP32" s="245"/>
      <c r="AQ32" s="245"/>
      <c r="AR32" s="245"/>
      <c r="AS32" s="246"/>
      <c r="AT32" s="245"/>
      <c r="AU32" s="245"/>
      <c r="AV32" s="245"/>
      <c r="AW32" s="245"/>
      <c r="AX32" s="245"/>
      <c r="AY32" s="245"/>
      <c r="AZ32" s="245"/>
    </row>
    <row r="33" spans="2:52" ht="30" customHeight="1">
      <c r="B33" s="373"/>
      <c r="C33" s="255" t="s">
        <v>47</v>
      </c>
      <c r="D33" s="246"/>
      <c r="E33" s="246"/>
      <c r="F33" s="246"/>
      <c r="G33" s="246">
        <f>SUM(G27:G32)</f>
        <v>0</v>
      </c>
      <c r="H33" s="246">
        <f t="shared" ref="H33:AK33" si="36">SUM(H27:H32)</f>
        <v>0</v>
      </c>
      <c r="I33" s="246">
        <f t="shared" si="36"/>
        <v>0</v>
      </c>
      <c r="J33" s="246">
        <f t="shared" si="36"/>
        <v>0</v>
      </c>
      <c r="K33" s="246">
        <f t="shared" si="36"/>
        <v>0</v>
      </c>
      <c r="L33" s="246">
        <f t="shared" si="36"/>
        <v>0</v>
      </c>
      <c r="M33" s="246">
        <f t="shared" si="36"/>
        <v>0</v>
      </c>
      <c r="N33" s="246">
        <f t="shared" si="36"/>
        <v>0</v>
      </c>
      <c r="O33" s="246">
        <f t="shared" si="36"/>
        <v>0</v>
      </c>
      <c r="P33" s="246">
        <f t="shared" si="36"/>
        <v>0</v>
      </c>
      <c r="Q33" s="246">
        <f t="shared" si="36"/>
        <v>0</v>
      </c>
      <c r="R33" s="246">
        <f t="shared" si="36"/>
        <v>0</v>
      </c>
      <c r="S33" s="246">
        <f t="shared" si="36"/>
        <v>0</v>
      </c>
      <c r="T33" s="246">
        <f t="shared" si="36"/>
        <v>0</v>
      </c>
      <c r="U33" s="246">
        <f t="shared" si="36"/>
        <v>0</v>
      </c>
      <c r="V33" s="246">
        <f t="shared" si="36"/>
        <v>0</v>
      </c>
      <c r="W33" s="246">
        <f t="shared" si="36"/>
        <v>0</v>
      </c>
      <c r="X33" s="246">
        <f t="shared" si="36"/>
        <v>0</v>
      </c>
      <c r="Y33" s="246">
        <f t="shared" si="36"/>
        <v>0</v>
      </c>
      <c r="Z33" s="246">
        <f t="shared" si="36"/>
        <v>0</v>
      </c>
      <c r="AA33" s="246">
        <f t="shared" si="36"/>
        <v>0</v>
      </c>
      <c r="AB33" s="246">
        <f t="shared" si="36"/>
        <v>0</v>
      </c>
      <c r="AC33" s="246">
        <f t="shared" si="36"/>
        <v>0</v>
      </c>
      <c r="AD33" s="246">
        <f t="shared" si="36"/>
        <v>0</v>
      </c>
      <c r="AE33" s="246">
        <f t="shared" si="36"/>
        <v>0</v>
      </c>
      <c r="AF33" s="246">
        <f t="shared" si="36"/>
        <v>0</v>
      </c>
      <c r="AG33" s="246">
        <f t="shared" si="36"/>
        <v>0</v>
      </c>
      <c r="AH33" s="246">
        <f t="shared" si="36"/>
        <v>0</v>
      </c>
      <c r="AI33" s="246">
        <f t="shared" si="36"/>
        <v>0</v>
      </c>
      <c r="AJ33" s="246">
        <f t="shared" si="36"/>
        <v>0</v>
      </c>
      <c r="AK33" s="246">
        <f t="shared" si="36"/>
        <v>0</v>
      </c>
      <c r="AM33" s="245"/>
      <c r="AN33" s="246"/>
      <c r="AO33" s="246"/>
      <c r="AP33" s="245"/>
      <c r="AQ33" s="247"/>
      <c r="AR33" s="245"/>
      <c r="AS33" s="246"/>
      <c r="AT33" s="245"/>
      <c r="AU33" s="245"/>
      <c r="AV33" s="245"/>
      <c r="AW33" s="245"/>
      <c r="AX33" s="245"/>
      <c r="AY33" s="245"/>
      <c r="AZ33" s="245"/>
    </row>
    <row r="34" spans="2:52" ht="30" customHeight="1">
      <c r="B34" s="373"/>
      <c r="C34" s="255" t="s">
        <v>46</v>
      </c>
      <c r="D34" s="246"/>
      <c r="E34" s="246"/>
      <c r="F34" s="246"/>
      <c r="G34" s="246">
        <f>COUNTIF(G$6:G$15,"休")+COUNTIF(G$6:G$15,"希")+COUNTIF(G$6:G$15,"有")</f>
        <v>0</v>
      </c>
      <c r="H34" s="246">
        <f t="shared" ref="H34:AK34" si="37">COUNTIF(H$6:H$15,"休")+COUNTIF(H$6:H$15,"希")+COUNTIF(H$6:H$15,"有")</f>
        <v>0</v>
      </c>
      <c r="I34" s="246">
        <f t="shared" si="37"/>
        <v>0</v>
      </c>
      <c r="J34" s="246">
        <f t="shared" si="37"/>
        <v>0</v>
      </c>
      <c r="K34" s="246">
        <f t="shared" si="37"/>
        <v>0</v>
      </c>
      <c r="L34" s="246">
        <f t="shared" si="37"/>
        <v>0</v>
      </c>
      <c r="M34" s="246">
        <f t="shared" si="37"/>
        <v>0</v>
      </c>
      <c r="N34" s="246">
        <f t="shared" si="37"/>
        <v>0</v>
      </c>
      <c r="O34" s="246">
        <f t="shared" si="37"/>
        <v>0</v>
      </c>
      <c r="P34" s="246">
        <f t="shared" si="37"/>
        <v>0</v>
      </c>
      <c r="Q34" s="246">
        <f t="shared" si="37"/>
        <v>0</v>
      </c>
      <c r="R34" s="246">
        <f t="shared" si="37"/>
        <v>0</v>
      </c>
      <c r="S34" s="246">
        <f t="shared" si="37"/>
        <v>0</v>
      </c>
      <c r="T34" s="246">
        <f t="shared" si="37"/>
        <v>0</v>
      </c>
      <c r="U34" s="246">
        <f t="shared" si="37"/>
        <v>0</v>
      </c>
      <c r="V34" s="246">
        <f t="shared" si="37"/>
        <v>0</v>
      </c>
      <c r="W34" s="246">
        <f t="shared" si="37"/>
        <v>0</v>
      </c>
      <c r="X34" s="246">
        <f t="shared" si="37"/>
        <v>0</v>
      </c>
      <c r="Y34" s="246">
        <f t="shared" si="37"/>
        <v>0</v>
      </c>
      <c r="Z34" s="246">
        <f t="shared" si="37"/>
        <v>0</v>
      </c>
      <c r="AA34" s="246">
        <f t="shared" si="37"/>
        <v>0</v>
      </c>
      <c r="AB34" s="246">
        <f t="shared" si="37"/>
        <v>0</v>
      </c>
      <c r="AC34" s="246">
        <f t="shared" si="37"/>
        <v>0</v>
      </c>
      <c r="AD34" s="246">
        <f t="shared" si="37"/>
        <v>0</v>
      </c>
      <c r="AE34" s="246">
        <f t="shared" si="37"/>
        <v>0</v>
      </c>
      <c r="AF34" s="246">
        <f t="shared" si="37"/>
        <v>0</v>
      </c>
      <c r="AG34" s="246">
        <f t="shared" si="37"/>
        <v>0</v>
      </c>
      <c r="AH34" s="246">
        <f t="shared" si="37"/>
        <v>0</v>
      </c>
      <c r="AI34" s="246">
        <f t="shared" si="37"/>
        <v>0</v>
      </c>
      <c r="AJ34" s="246">
        <f t="shared" si="37"/>
        <v>0</v>
      </c>
      <c r="AK34" s="246">
        <f t="shared" si="37"/>
        <v>0</v>
      </c>
      <c r="AM34" s="245"/>
      <c r="AN34" s="246"/>
      <c r="AO34" s="246"/>
      <c r="AP34" s="245"/>
      <c r="AQ34" s="247"/>
      <c r="AR34" s="245"/>
      <c r="AS34" s="246"/>
      <c r="AT34" s="245"/>
      <c r="AU34" s="245"/>
      <c r="AV34" s="245"/>
      <c r="AW34" s="245"/>
      <c r="AX34" s="245"/>
      <c r="AY34" s="245"/>
      <c r="AZ34" s="245"/>
    </row>
    <row r="35" spans="2:52" ht="30" customHeight="1" thickBot="1">
      <c r="B35" s="374"/>
      <c r="C35" s="256" t="s">
        <v>40</v>
      </c>
      <c r="D35" s="257"/>
      <c r="E35" s="257"/>
      <c r="F35" s="257"/>
      <c r="G35" s="277" t="str">
        <f>IF(OR(AND(G31&gt;0,G32&gt;0,G28&gt;0,G29&gt;0),AND(G31&gt;0,G32&gt;0,G29&gt;0,G30&gt;0),AND(G31&gt;0,G32&gt;0,G27&gt;0,G29&gt;0)),"成立",IF(OR(AND(G31&gt;0,G32&gt;0,G27&gt;0),AND(G31&gt;0,G32&gt;0,G30&gt;0)),"30分残業","不成立"))</f>
        <v>不成立</v>
      </c>
      <c r="H35" s="277" t="str">
        <f t="shared" ref="H35:AJ35" si="38">IF(OR(AND(H31&gt;0,H32&gt;0,H28&gt;0,H29&gt;0),AND(H31&gt;0,H32&gt;0,H29&gt;0,H30&gt;0),AND(H31&gt;0,H32&gt;0,H27&gt;0,H29&gt;0)),"成立",IF(OR(AND(H31&gt;0,H32&gt;0,H27&gt;0),AND(H31&gt;0,H32&gt;0,H30&gt;0)),"30分残業","不成立"))</f>
        <v>不成立</v>
      </c>
      <c r="I35" s="277" t="str">
        <f t="shared" si="38"/>
        <v>不成立</v>
      </c>
      <c r="J35" s="277" t="str">
        <f t="shared" si="38"/>
        <v>不成立</v>
      </c>
      <c r="K35" s="277" t="str">
        <f t="shared" si="38"/>
        <v>不成立</v>
      </c>
      <c r="L35" s="277" t="str">
        <f t="shared" si="38"/>
        <v>不成立</v>
      </c>
      <c r="M35" s="277" t="str">
        <f t="shared" si="38"/>
        <v>不成立</v>
      </c>
      <c r="N35" s="277" t="str">
        <f t="shared" si="38"/>
        <v>不成立</v>
      </c>
      <c r="O35" s="277" t="str">
        <f t="shared" si="38"/>
        <v>不成立</v>
      </c>
      <c r="P35" s="277" t="str">
        <f t="shared" si="38"/>
        <v>不成立</v>
      </c>
      <c r="Q35" s="277" t="str">
        <f t="shared" si="38"/>
        <v>不成立</v>
      </c>
      <c r="R35" s="277" t="str">
        <f t="shared" si="38"/>
        <v>不成立</v>
      </c>
      <c r="S35" s="277" t="str">
        <f t="shared" si="38"/>
        <v>不成立</v>
      </c>
      <c r="T35" s="277" t="str">
        <f t="shared" si="38"/>
        <v>不成立</v>
      </c>
      <c r="U35" s="277" t="str">
        <f t="shared" si="38"/>
        <v>不成立</v>
      </c>
      <c r="V35" s="277" t="str">
        <f t="shared" si="38"/>
        <v>不成立</v>
      </c>
      <c r="W35" s="277" t="str">
        <f t="shared" si="38"/>
        <v>不成立</v>
      </c>
      <c r="X35" s="277" t="str">
        <f t="shared" si="38"/>
        <v>不成立</v>
      </c>
      <c r="Y35" s="277" t="str">
        <f t="shared" si="38"/>
        <v>不成立</v>
      </c>
      <c r="Z35" s="277" t="str">
        <f t="shared" si="38"/>
        <v>不成立</v>
      </c>
      <c r="AA35" s="277" t="str">
        <f t="shared" si="38"/>
        <v>不成立</v>
      </c>
      <c r="AB35" s="277" t="str">
        <f t="shared" si="38"/>
        <v>不成立</v>
      </c>
      <c r="AC35" s="277" t="str">
        <f t="shared" si="38"/>
        <v>不成立</v>
      </c>
      <c r="AD35" s="277" t="str">
        <f t="shared" si="38"/>
        <v>不成立</v>
      </c>
      <c r="AE35" s="277" t="str">
        <f t="shared" si="38"/>
        <v>不成立</v>
      </c>
      <c r="AF35" s="277" t="str">
        <f t="shared" si="38"/>
        <v>不成立</v>
      </c>
      <c r="AG35" s="277" t="str">
        <f t="shared" si="38"/>
        <v>不成立</v>
      </c>
      <c r="AH35" s="277" t="str">
        <f t="shared" si="38"/>
        <v>不成立</v>
      </c>
      <c r="AI35" s="277" t="str">
        <f t="shared" si="38"/>
        <v>不成立</v>
      </c>
      <c r="AJ35" s="277" t="str">
        <f t="shared" si="38"/>
        <v>不成立</v>
      </c>
      <c r="AK35" s="277" t="str">
        <f t="shared" ref="AK35" si="39">IF(OR(AND(AK31&gt;0,AK32&gt;0,AK28&gt;0,AK29&gt;0),AND(AK31&gt;0,AK32&gt;0,AK29&gt;0,AK30&gt;0)*AND(AK31&gt;0,AK32&gt;0,AK27&gt;0)),"成立",IF(OR(AND(AK31&gt;0,AK32&gt;0,AK27&gt;0,AK29&gt;0),AND(AK31&gt;0,AK32&gt;0,AK30&gt;0)),"30分残業","不成立"))</f>
        <v>不成立</v>
      </c>
      <c r="AM35" s="245"/>
      <c r="AN35" s="246"/>
      <c r="AO35" s="246"/>
      <c r="AP35" s="245"/>
      <c r="AQ35" s="245"/>
      <c r="AR35" s="245"/>
      <c r="AS35" s="246"/>
      <c r="AT35" s="245"/>
      <c r="AU35" s="245"/>
      <c r="AV35" s="245"/>
      <c r="AW35" s="245"/>
      <c r="AX35" s="245"/>
      <c r="AY35" s="245"/>
      <c r="AZ35" s="245"/>
    </row>
    <row r="36" spans="2:52" ht="30" customHeight="1">
      <c r="B36" s="177"/>
      <c r="C36" s="177"/>
      <c r="D36" s="177"/>
      <c r="E36" s="177"/>
      <c r="F36" s="177"/>
      <c r="G36" s="242"/>
      <c r="H36" s="243"/>
      <c r="I36" s="242"/>
      <c r="J36" s="242"/>
      <c r="K36" s="242"/>
      <c r="L36" s="242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I36" s="177"/>
      <c r="AJ36" s="177"/>
      <c r="AK36" s="177"/>
      <c r="AN36" s="246"/>
      <c r="AO36" s="246"/>
      <c r="AS36" s="246"/>
    </row>
    <row r="37" spans="2:52" ht="30" customHeight="1" thickBot="1">
      <c r="AN37" s="246"/>
      <c r="AO37" s="246"/>
      <c r="AS37" s="246"/>
    </row>
    <row r="38" spans="2:52" ht="30" customHeight="1">
      <c r="B38" s="375" t="s">
        <v>51</v>
      </c>
      <c r="C38" s="251" t="s">
        <v>69</v>
      </c>
      <c r="D38" s="252"/>
      <c r="E38" s="252"/>
      <c r="F38" s="252"/>
      <c r="G38" s="246">
        <f>COUNTIF(G$6:G$18,"Ａ")</f>
        <v>0</v>
      </c>
      <c r="H38" s="246">
        <f t="shared" ref="H38:AK38" si="40">COUNTIF(H$6:H$18,"Ａ")</f>
        <v>0</v>
      </c>
      <c r="I38" s="246">
        <f t="shared" si="40"/>
        <v>0</v>
      </c>
      <c r="J38" s="246">
        <f t="shared" si="40"/>
        <v>0</v>
      </c>
      <c r="K38" s="246">
        <f t="shared" si="40"/>
        <v>0</v>
      </c>
      <c r="L38" s="246">
        <f t="shared" si="40"/>
        <v>0</v>
      </c>
      <c r="M38" s="246">
        <f t="shared" si="40"/>
        <v>0</v>
      </c>
      <c r="N38" s="246">
        <f t="shared" si="40"/>
        <v>0</v>
      </c>
      <c r="O38" s="246">
        <f t="shared" si="40"/>
        <v>0</v>
      </c>
      <c r="P38" s="246">
        <f t="shared" si="40"/>
        <v>0</v>
      </c>
      <c r="Q38" s="246">
        <f t="shared" si="40"/>
        <v>0</v>
      </c>
      <c r="R38" s="246">
        <f t="shared" si="40"/>
        <v>0</v>
      </c>
      <c r="S38" s="246">
        <f t="shared" si="40"/>
        <v>0</v>
      </c>
      <c r="T38" s="246">
        <f t="shared" si="40"/>
        <v>0</v>
      </c>
      <c r="U38" s="246">
        <f t="shared" si="40"/>
        <v>0</v>
      </c>
      <c r="V38" s="246">
        <f t="shared" si="40"/>
        <v>0</v>
      </c>
      <c r="W38" s="246">
        <f t="shared" si="40"/>
        <v>0</v>
      </c>
      <c r="X38" s="246">
        <f t="shared" si="40"/>
        <v>0</v>
      </c>
      <c r="Y38" s="246">
        <f t="shared" si="40"/>
        <v>0</v>
      </c>
      <c r="Z38" s="246">
        <f t="shared" si="40"/>
        <v>0</v>
      </c>
      <c r="AA38" s="246">
        <f t="shared" si="40"/>
        <v>0</v>
      </c>
      <c r="AB38" s="246">
        <f t="shared" si="40"/>
        <v>0</v>
      </c>
      <c r="AC38" s="246">
        <f t="shared" si="40"/>
        <v>0</v>
      </c>
      <c r="AD38" s="246">
        <f t="shared" si="40"/>
        <v>0</v>
      </c>
      <c r="AE38" s="246">
        <f t="shared" si="40"/>
        <v>0</v>
      </c>
      <c r="AF38" s="246">
        <f t="shared" si="40"/>
        <v>0</v>
      </c>
      <c r="AG38" s="246">
        <f t="shared" si="40"/>
        <v>0</v>
      </c>
      <c r="AH38" s="246">
        <f t="shared" si="40"/>
        <v>0</v>
      </c>
      <c r="AI38" s="246">
        <f t="shared" si="40"/>
        <v>0</v>
      </c>
      <c r="AJ38" s="246">
        <f t="shared" si="40"/>
        <v>0</v>
      </c>
      <c r="AK38" s="246">
        <f t="shared" si="40"/>
        <v>0</v>
      </c>
      <c r="AN38" s="246"/>
      <c r="AO38" s="246"/>
      <c r="AS38" s="246"/>
    </row>
    <row r="39" spans="2:52" ht="30" customHeight="1">
      <c r="B39" s="376"/>
      <c r="C39" s="253" t="s">
        <v>37</v>
      </c>
      <c r="D39" s="252"/>
      <c r="E39" s="252"/>
      <c r="F39" s="252"/>
      <c r="G39" s="246">
        <f>COUNTIF(G$6:G$18,"Ｂ")</f>
        <v>0</v>
      </c>
      <c r="H39" s="246">
        <f t="shared" ref="H39:AK39" si="41">COUNTIF(H$6:H$18,"Ｂ")</f>
        <v>0</v>
      </c>
      <c r="I39" s="246">
        <f t="shared" si="41"/>
        <v>0</v>
      </c>
      <c r="J39" s="246">
        <f t="shared" si="41"/>
        <v>0</v>
      </c>
      <c r="K39" s="246">
        <f t="shared" si="41"/>
        <v>0</v>
      </c>
      <c r="L39" s="246">
        <f t="shared" si="41"/>
        <v>0</v>
      </c>
      <c r="M39" s="246">
        <f t="shared" si="41"/>
        <v>0</v>
      </c>
      <c r="N39" s="246">
        <f t="shared" si="41"/>
        <v>0</v>
      </c>
      <c r="O39" s="246">
        <f t="shared" si="41"/>
        <v>0</v>
      </c>
      <c r="P39" s="246">
        <f t="shared" si="41"/>
        <v>0</v>
      </c>
      <c r="Q39" s="246">
        <f t="shared" si="41"/>
        <v>0</v>
      </c>
      <c r="R39" s="246">
        <f t="shared" si="41"/>
        <v>0</v>
      </c>
      <c r="S39" s="246">
        <f t="shared" si="41"/>
        <v>0</v>
      </c>
      <c r="T39" s="246">
        <f t="shared" si="41"/>
        <v>0</v>
      </c>
      <c r="U39" s="246">
        <f t="shared" si="41"/>
        <v>0</v>
      </c>
      <c r="V39" s="246">
        <f t="shared" si="41"/>
        <v>0</v>
      </c>
      <c r="W39" s="246">
        <f t="shared" si="41"/>
        <v>0</v>
      </c>
      <c r="X39" s="246">
        <f t="shared" si="41"/>
        <v>0</v>
      </c>
      <c r="Y39" s="246">
        <f t="shared" si="41"/>
        <v>0</v>
      </c>
      <c r="Z39" s="246">
        <f t="shared" si="41"/>
        <v>0</v>
      </c>
      <c r="AA39" s="246">
        <f t="shared" si="41"/>
        <v>0</v>
      </c>
      <c r="AB39" s="246">
        <f t="shared" si="41"/>
        <v>0</v>
      </c>
      <c r="AC39" s="246">
        <f t="shared" si="41"/>
        <v>0</v>
      </c>
      <c r="AD39" s="246">
        <f t="shared" si="41"/>
        <v>0</v>
      </c>
      <c r="AE39" s="246">
        <f t="shared" si="41"/>
        <v>0</v>
      </c>
      <c r="AF39" s="246">
        <f t="shared" si="41"/>
        <v>0</v>
      </c>
      <c r="AG39" s="246">
        <f t="shared" si="41"/>
        <v>0</v>
      </c>
      <c r="AH39" s="246">
        <f t="shared" si="41"/>
        <v>0</v>
      </c>
      <c r="AI39" s="246">
        <f t="shared" si="41"/>
        <v>0</v>
      </c>
      <c r="AJ39" s="246">
        <f t="shared" si="41"/>
        <v>0</v>
      </c>
      <c r="AK39" s="246">
        <f t="shared" si="41"/>
        <v>0</v>
      </c>
      <c r="AN39" s="246"/>
      <c r="AO39" s="246"/>
      <c r="AS39" s="246"/>
    </row>
    <row r="40" spans="2:52" ht="30" customHeight="1">
      <c r="B40" s="376"/>
      <c r="C40" s="253" t="s">
        <v>75</v>
      </c>
      <c r="D40" s="252"/>
      <c r="E40" s="252"/>
      <c r="F40" s="252"/>
      <c r="G40" s="246">
        <f>COUNTIF(G$6:G$18,"Ｃ")</f>
        <v>0</v>
      </c>
      <c r="H40" s="246">
        <f t="shared" ref="H40:AK40" si="42">COUNTIF(H$6:H$18,"Ｃ")</f>
        <v>0</v>
      </c>
      <c r="I40" s="246">
        <f t="shared" si="42"/>
        <v>0</v>
      </c>
      <c r="J40" s="246">
        <f t="shared" si="42"/>
        <v>0</v>
      </c>
      <c r="K40" s="246">
        <f t="shared" si="42"/>
        <v>0</v>
      </c>
      <c r="L40" s="246">
        <f t="shared" si="42"/>
        <v>0</v>
      </c>
      <c r="M40" s="246">
        <f t="shared" si="42"/>
        <v>0</v>
      </c>
      <c r="N40" s="246">
        <f t="shared" si="42"/>
        <v>0</v>
      </c>
      <c r="O40" s="246">
        <f t="shared" si="42"/>
        <v>0</v>
      </c>
      <c r="P40" s="246">
        <f t="shared" si="42"/>
        <v>0</v>
      </c>
      <c r="Q40" s="246">
        <f t="shared" si="42"/>
        <v>0</v>
      </c>
      <c r="R40" s="246">
        <f t="shared" si="42"/>
        <v>0</v>
      </c>
      <c r="S40" s="246">
        <f t="shared" si="42"/>
        <v>0</v>
      </c>
      <c r="T40" s="246">
        <f t="shared" si="42"/>
        <v>0</v>
      </c>
      <c r="U40" s="246">
        <f t="shared" si="42"/>
        <v>0</v>
      </c>
      <c r="V40" s="246">
        <f t="shared" si="42"/>
        <v>0</v>
      </c>
      <c r="W40" s="246">
        <f t="shared" si="42"/>
        <v>0</v>
      </c>
      <c r="X40" s="246">
        <f t="shared" si="42"/>
        <v>0</v>
      </c>
      <c r="Y40" s="246">
        <f t="shared" si="42"/>
        <v>0</v>
      </c>
      <c r="Z40" s="246">
        <f t="shared" si="42"/>
        <v>0</v>
      </c>
      <c r="AA40" s="246">
        <f t="shared" si="42"/>
        <v>0</v>
      </c>
      <c r="AB40" s="246">
        <f t="shared" si="42"/>
        <v>0</v>
      </c>
      <c r="AC40" s="246">
        <f t="shared" si="42"/>
        <v>0</v>
      </c>
      <c r="AD40" s="246">
        <f t="shared" si="42"/>
        <v>0</v>
      </c>
      <c r="AE40" s="246">
        <f t="shared" si="42"/>
        <v>0</v>
      </c>
      <c r="AF40" s="246">
        <f t="shared" si="42"/>
        <v>0</v>
      </c>
      <c r="AG40" s="246">
        <f t="shared" si="42"/>
        <v>0</v>
      </c>
      <c r="AH40" s="246">
        <f t="shared" si="42"/>
        <v>0</v>
      </c>
      <c r="AI40" s="246">
        <f t="shared" si="42"/>
        <v>0</v>
      </c>
      <c r="AJ40" s="246">
        <f t="shared" si="42"/>
        <v>0</v>
      </c>
      <c r="AK40" s="246">
        <f t="shared" si="42"/>
        <v>0</v>
      </c>
      <c r="AN40" s="246"/>
      <c r="AO40" s="246"/>
      <c r="AS40" s="246"/>
    </row>
    <row r="41" spans="2:52" ht="30" customHeight="1">
      <c r="B41" s="376"/>
      <c r="C41" s="253" t="s">
        <v>70</v>
      </c>
      <c r="D41" s="252"/>
      <c r="E41" s="252"/>
      <c r="F41" s="252"/>
      <c r="G41" s="246">
        <f>COUNTIF(G$6:G$18,"Ｄ")</f>
        <v>0</v>
      </c>
      <c r="H41" s="246">
        <f t="shared" ref="H41:AK41" si="43">COUNTIF(H$6:H$18,"Ｄ")</f>
        <v>0</v>
      </c>
      <c r="I41" s="246">
        <f t="shared" si="43"/>
        <v>0</v>
      </c>
      <c r="J41" s="246">
        <f t="shared" si="43"/>
        <v>0</v>
      </c>
      <c r="K41" s="246">
        <f t="shared" si="43"/>
        <v>0</v>
      </c>
      <c r="L41" s="246">
        <f t="shared" si="43"/>
        <v>0</v>
      </c>
      <c r="M41" s="246">
        <f t="shared" si="43"/>
        <v>0</v>
      </c>
      <c r="N41" s="246">
        <f t="shared" si="43"/>
        <v>0</v>
      </c>
      <c r="O41" s="246">
        <f t="shared" si="43"/>
        <v>0</v>
      </c>
      <c r="P41" s="246">
        <f t="shared" si="43"/>
        <v>0</v>
      </c>
      <c r="Q41" s="246">
        <f t="shared" si="43"/>
        <v>0</v>
      </c>
      <c r="R41" s="246">
        <f t="shared" si="43"/>
        <v>0</v>
      </c>
      <c r="S41" s="246">
        <f t="shared" si="43"/>
        <v>0</v>
      </c>
      <c r="T41" s="246">
        <f t="shared" si="43"/>
        <v>0</v>
      </c>
      <c r="U41" s="246">
        <f t="shared" si="43"/>
        <v>0</v>
      </c>
      <c r="V41" s="246">
        <f t="shared" si="43"/>
        <v>0</v>
      </c>
      <c r="W41" s="246">
        <f t="shared" si="43"/>
        <v>0</v>
      </c>
      <c r="X41" s="246">
        <f t="shared" si="43"/>
        <v>0</v>
      </c>
      <c r="Y41" s="246">
        <f t="shared" si="43"/>
        <v>0</v>
      </c>
      <c r="Z41" s="246">
        <f t="shared" si="43"/>
        <v>0</v>
      </c>
      <c r="AA41" s="246">
        <f t="shared" si="43"/>
        <v>0</v>
      </c>
      <c r="AB41" s="246">
        <f t="shared" si="43"/>
        <v>0</v>
      </c>
      <c r="AC41" s="246">
        <f t="shared" si="43"/>
        <v>0</v>
      </c>
      <c r="AD41" s="246">
        <f t="shared" si="43"/>
        <v>0</v>
      </c>
      <c r="AE41" s="246">
        <f t="shared" si="43"/>
        <v>0</v>
      </c>
      <c r="AF41" s="246">
        <f t="shared" si="43"/>
        <v>0</v>
      </c>
      <c r="AG41" s="246">
        <f t="shared" si="43"/>
        <v>0</v>
      </c>
      <c r="AH41" s="246">
        <f t="shared" si="43"/>
        <v>0</v>
      </c>
      <c r="AI41" s="246">
        <f t="shared" si="43"/>
        <v>0</v>
      </c>
      <c r="AJ41" s="246">
        <f t="shared" si="43"/>
        <v>0</v>
      </c>
      <c r="AK41" s="246">
        <f t="shared" si="43"/>
        <v>0</v>
      </c>
    </row>
    <row r="42" spans="2:52" ht="30" customHeight="1">
      <c r="B42" s="376"/>
      <c r="C42" s="253" t="s">
        <v>76</v>
      </c>
      <c r="D42" s="252"/>
      <c r="E42" s="252"/>
      <c r="F42" s="252"/>
      <c r="G42" s="246">
        <f>COUNTIF(G$6:G$18,"Ｅ")</f>
        <v>0</v>
      </c>
      <c r="H42" s="246">
        <f t="shared" ref="H42:AK42" si="44">COUNTIF(H$6:H$18,"Ｅ")</f>
        <v>0</v>
      </c>
      <c r="I42" s="246">
        <f t="shared" si="44"/>
        <v>0</v>
      </c>
      <c r="J42" s="246">
        <f t="shared" si="44"/>
        <v>0</v>
      </c>
      <c r="K42" s="246">
        <f t="shared" si="44"/>
        <v>0</v>
      </c>
      <c r="L42" s="246">
        <f t="shared" si="44"/>
        <v>0</v>
      </c>
      <c r="M42" s="246">
        <f t="shared" si="44"/>
        <v>0</v>
      </c>
      <c r="N42" s="246">
        <f t="shared" si="44"/>
        <v>0</v>
      </c>
      <c r="O42" s="246">
        <f t="shared" si="44"/>
        <v>0</v>
      </c>
      <c r="P42" s="246">
        <f t="shared" si="44"/>
        <v>0</v>
      </c>
      <c r="Q42" s="246">
        <f t="shared" si="44"/>
        <v>0</v>
      </c>
      <c r="R42" s="246">
        <f t="shared" si="44"/>
        <v>0</v>
      </c>
      <c r="S42" s="246">
        <f t="shared" si="44"/>
        <v>0</v>
      </c>
      <c r="T42" s="246">
        <f t="shared" si="44"/>
        <v>0</v>
      </c>
      <c r="U42" s="246">
        <f t="shared" si="44"/>
        <v>0</v>
      </c>
      <c r="V42" s="246">
        <f t="shared" si="44"/>
        <v>0</v>
      </c>
      <c r="W42" s="246">
        <f t="shared" si="44"/>
        <v>0</v>
      </c>
      <c r="X42" s="246">
        <f t="shared" si="44"/>
        <v>0</v>
      </c>
      <c r="Y42" s="246">
        <f t="shared" si="44"/>
        <v>0</v>
      </c>
      <c r="Z42" s="246">
        <f t="shared" si="44"/>
        <v>0</v>
      </c>
      <c r="AA42" s="246">
        <f t="shared" si="44"/>
        <v>0</v>
      </c>
      <c r="AB42" s="246">
        <f t="shared" si="44"/>
        <v>0</v>
      </c>
      <c r="AC42" s="246">
        <f t="shared" si="44"/>
        <v>0</v>
      </c>
      <c r="AD42" s="246">
        <f t="shared" si="44"/>
        <v>0</v>
      </c>
      <c r="AE42" s="246">
        <f t="shared" si="44"/>
        <v>0</v>
      </c>
      <c r="AF42" s="246">
        <f t="shared" si="44"/>
        <v>0</v>
      </c>
      <c r="AG42" s="246">
        <f t="shared" si="44"/>
        <v>0</v>
      </c>
      <c r="AH42" s="246">
        <f t="shared" si="44"/>
        <v>0</v>
      </c>
      <c r="AI42" s="246">
        <f t="shared" si="44"/>
        <v>0</v>
      </c>
      <c r="AJ42" s="246">
        <f t="shared" si="44"/>
        <v>0</v>
      </c>
      <c r="AK42" s="246">
        <f t="shared" si="44"/>
        <v>0</v>
      </c>
    </row>
    <row r="43" spans="2:52" ht="30" customHeight="1">
      <c r="B43" s="376"/>
      <c r="C43" s="253" t="s">
        <v>71</v>
      </c>
      <c r="D43" s="252"/>
      <c r="E43" s="252"/>
      <c r="F43" s="252"/>
      <c r="G43" s="246">
        <f>COUNTIF(G$6:G$18,"夜")</f>
        <v>0</v>
      </c>
      <c r="H43" s="246">
        <f t="shared" ref="H43:AK43" si="45">COUNTIF(H$6:H$18,"夜")</f>
        <v>0</v>
      </c>
      <c r="I43" s="246">
        <f t="shared" si="45"/>
        <v>0</v>
      </c>
      <c r="J43" s="246">
        <f t="shared" si="45"/>
        <v>0</v>
      </c>
      <c r="K43" s="246">
        <f t="shared" si="45"/>
        <v>0</v>
      </c>
      <c r="L43" s="246">
        <f t="shared" si="45"/>
        <v>0</v>
      </c>
      <c r="M43" s="246">
        <f t="shared" si="45"/>
        <v>0</v>
      </c>
      <c r="N43" s="246">
        <f t="shared" si="45"/>
        <v>0</v>
      </c>
      <c r="O43" s="246">
        <f t="shared" si="45"/>
        <v>0</v>
      </c>
      <c r="P43" s="246">
        <f t="shared" si="45"/>
        <v>0</v>
      </c>
      <c r="Q43" s="246">
        <f t="shared" si="45"/>
        <v>0</v>
      </c>
      <c r="R43" s="246">
        <f t="shared" si="45"/>
        <v>0</v>
      </c>
      <c r="S43" s="246">
        <f t="shared" si="45"/>
        <v>0</v>
      </c>
      <c r="T43" s="246">
        <f t="shared" si="45"/>
        <v>0</v>
      </c>
      <c r="U43" s="246">
        <f t="shared" si="45"/>
        <v>0</v>
      </c>
      <c r="V43" s="246">
        <f t="shared" si="45"/>
        <v>0</v>
      </c>
      <c r="W43" s="246">
        <f t="shared" si="45"/>
        <v>0</v>
      </c>
      <c r="X43" s="246">
        <f t="shared" si="45"/>
        <v>0</v>
      </c>
      <c r="Y43" s="246">
        <f t="shared" si="45"/>
        <v>0</v>
      </c>
      <c r="Z43" s="246">
        <f t="shared" si="45"/>
        <v>0</v>
      </c>
      <c r="AA43" s="246">
        <f t="shared" si="45"/>
        <v>0</v>
      </c>
      <c r="AB43" s="246">
        <f t="shared" si="45"/>
        <v>0</v>
      </c>
      <c r="AC43" s="246">
        <f t="shared" si="45"/>
        <v>0</v>
      </c>
      <c r="AD43" s="246">
        <f t="shared" si="45"/>
        <v>0</v>
      </c>
      <c r="AE43" s="246">
        <f t="shared" si="45"/>
        <v>0</v>
      </c>
      <c r="AF43" s="246">
        <f t="shared" si="45"/>
        <v>0</v>
      </c>
      <c r="AG43" s="246">
        <f t="shared" si="45"/>
        <v>0</v>
      </c>
      <c r="AH43" s="246">
        <f t="shared" si="45"/>
        <v>0</v>
      </c>
      <c r="AI43" s="246">
        <f t="shared" si="45"/>
        <v>0</v>
      </c>
      <c r="AJ43" s="246">
        <f t="shared" si="45"/>
        <v>0</v>
      </c>
      <c r="AK43" s="246">
        <f t="shared" si="45"/>
        <v>0</v>
      </c>
    </row>
    <row r="44" spans="2:52" ht="30" customHeight="1">
      <c r="B44" s="376"/>
      <c r="C44" s="253" t="s">
        <v>72</v>
      </c>
      <c r="D44" s="252"/>
      <c r="E44" s="252"/>
      <c r="F44" s="252"/>
      <c r="G44" s="246">
        <f>COUNTIF(G$6:G$18,"明")</f>
        <v>0</v>
      </c>
      <c r="H44" s="246">
        <f t="shared" ref="H44:AK44" si="46">COUNTIF(H$6:H$18,"明")</f>
        <v>0</v>
      </c>
      <c r="I44" s="246">
        <f t="shared" si="46"/>
        <v>0</v>
      </c>
      <c r="J44" s="246">
        <f t="shared" si="46"/>
        <v>0</v>
      </c>
      <c r="K44" s="246">
        <f t="shared" si="46"/>
        <v>0</v>
      </c>
      <c r="L44" s="246">
        <f t="shared" si="46"/>
        <v>0</v>
      </c>
      <c r="M44" s="246">
        <f t="shared" si="46"/>
        <v>0</v>
      </c>
      <c r="N44" s="246">
        <f t="shared" si="46"/>
        <v>0</v>
      </c>
      <c r="O44" s="246">
        <f t="shared" si="46"/>
        <v>0</v>
      </c>
      <c r="P44" s="246">
        <f t="shared" si="46"/>
        <v>0</v>
      </c>
      <c r="Q44" s="246">
        <f t="shared" si="46"/>
        <v>0</v>
      </c>
      <c r="R44" s="246">
        <f t="shared" si="46"/>
        <v>0</v>
      </c>
      <c r="S44" s="246">
        <f t="shared" si="46"/>
        <v>0</v>
      </c>
      <c r="T44" s="246">
        <f t="shared" si="46"/>
        <v>0</v>
      </c>
      <c r="U44" s="246">
        <f t="shared" si="46"/>
        <v>0</v>
      </c>
      <c r="V44" s="246">
        <f t="shared" si="46"/>
        <v>0</v>
      </c>
      <c r="W44" s="246">
        <f t="shared" si="46"/>
        <v>0</v>
      </c>
      <c r="X44" s="246">
        <f t="shared" si="46"/>
        <v>0</v>
      </c>
      <c r="Y44" s="246">
        <f t="shared" si="46"/>
        <v>0</v>
      </c>
      <c r="Z44" s="246">
        <f t="shared" si="46"/>
        <v>0</v>
      </c>
      <c r="AA44" s="246">
        <f t="shared" si="46"/>
        <v>0</v>
      </c>
      <c r="AB44" s="246">
        <f t="shared" si="46"/>
        <v>0</v>
      </c>
      <c r="AC44" s="246">
        <f t="shared" si="46"/>
        <v>0</v>
      </c>
      <c r="AD44" s="246">
        <f t="shared" si="46"/>
        <v>0</v>
      </c>
      <c r="AE44" s="246">
        <f t="shared" si="46"/>
        <v>0</v>
      </c>
      <c r="AF44" s="246">
        <f t="shared" si="46"/>
        <v>0</v>
      </c>
      <c r="AG44" s="246">
        <f t="shared" si="46"/>
        <v>0</v>
      </c>
      <c r="AH44" s="246">
        <f t="shared" si="46"/>
        <v>0</v>
      </c>
      <c r="AI44" s="246">
        <f t="shared" si="46"/>
        <v>0</v>
      </c>
      <c r="AJ44" s="246">
        <f t="shared" si="46"/>
        <v>0</v>
      </c>
      <c r="AK44" s="246">
        <f t="shared" si="46"/>
        <v>0</v>
      </c>
    </row>
    <row r="45" spans="2:52" ht="30" customHeight="1">
      <c r="B45" s="376"/>
      <c r="C45" s="255" t="s">
        <v>47</v>
      </c>
      <c r="D45" s="252"/>
      <c r="E45" s="252"/>
      <c r="F45" s="252"/>
      <c r="G45" s="246">
        <f>SUM(G38:G44)</f>
        <v>0</v>
      </c>
      <c r="H45" s="246">
        <f t="shared" ref="H45:AK45" si="47">SUM(H38:H44)</f>
        <v>0</v>
      </c>
      <c r="I45" s="246">
        <f t="shared" si="47"/>
        <v>0</v>
      </c>
      <c r="J45" s="246">
        <f t="shared" si="47"/>
        <v>0</v>
      </c>
      <c r="K45" s="246">
        <f t="shared" si="47"/>
        <v>0</v>
      </c>
      <c r="L45" s="246">
        <f t="shared" si="47"/>
        <v>0</v>
      </c>
      <c r="M45" s="246">
        <f t="shared" si="47"/>
        <v>0</v>
      </c>
      <c r="N45" s="246">
        <f t="shared" si="47"/>
        <v>0</v>
      </c>
      <c r="O45" s="246">
        <f t="shared" si="47"/>
        <v>0</v>
      </c>
      <c r="P45" s="246">
        <f t="shared" si="47"/>
        <v>0</v>
      </c>
      <c r="Q45" s="246">
        <f t="shared" si="47"/>
        <v>0</v>
      </c>
      <c r="R45" s="246">
        <f t="shared" si="47"/>
        <v>0</v>
      </c>
      <c r="S45" s="246">
        <f t="shared" si="47"/>
        <v>0</v>
      </c>
      <c r="T45" s="246">
        <f t="shared" si="47"/>
        <v>0</v>
      </c>
      <c r="U45" s="246">
        <f t="shared" si="47"/>
        <v>0</v>
      </c>
      <c r="V45" s="246">
        <f t="shared" si="47"/>
        <v>0</v>
      </c>
      <c r="W45" s="246">
        <f t="shared" si="47"/>
        <v>0</v>
      </c>
      <c r="X45" s="246">
        <f t="shared" si="47"/>
        <v>0</v>
      </c>
      <c r="Y45" s="246">
        <f t="shared" si="47"/>
        <v>0</v>
      </c>
      <c r="Z45" s="246">
        <f t="shared" si="47"/>
        <v>0</v>
      </c>
      <c r="AA45" s="246">
        <f t="shared" si="47"/>
        <v>0</v>
      </c>
      <c r="AB45" s="246">
        <f t="shared" si="47"/>
        <v>0</v>
      </c>
      <c r="AC45" s="246">
        <f t="shared" si="47"/>
        <v>0</v>
      </c>
      <c r="AD45" s="246">
        <f t="shared" si="47"/>
        <v>0</v>
      </c>
      <c r="AE45" s="246">
        <f t="shared" si="47"/>
        <v>0</v>
      </c>
      <c r="AF45" s="246">
        <f t="shared" si="47"/>
        <v>0</v>
      </c>
      <c r="AG45" s="246">
        <f t="shared" si="47"/>
        <v>0</v>
      </c>
      <c r="AH45" s="246">
        <f t="shared" si="47"/>
        <v>0</v>
      </c>
      <c r="AI45" s="246">
        <f t="shared" si="47"/>
        <v>0</v>
      </c>
      <c r="AJ45" s="246">
        <f t="shared" si="47"/>
        <v>0</v>
      </c>
      <c r="AK45" s="246">
        <f t="shared" si="47"/>
        <v>0</v>
      </c>
    </row>
    <row r="46" spans="2:52" ht="30" customHeight="1">
      <c r="B46" s="376"/>
      <c r="C46" s="255" t="s">
        <v>46</v>
      </c>
      <c r="D46" s="246"/>
      <c r="E46" s="246"/>
      <c r="F46" s="246"/>
      <c r="G46" s="246">
        <f>COUNTIF(G$6:G$18,"休")+COUNTIF(G$6:G$18,"希")+COUNTIF(G$6:G$18,"有")</f>
        <v>0</v>
      </c>
      <c r="H46" s="246">
        <f t="shared" ref="H46:AK46" si="48">COUNTIF(H$6:H$18,"休")+COUNTIF(H$6:H$18,"希")+COUNTIF(H$6:H$18,"有")</f>
        <v>0</v>
      </c>
      <c r="I46" s="246">
        <f t="shared" si="48"/>
        <v>0</v>
      </c>
      <c r="J46" s="246">
        <f t="shared" si="48"/>
        <v>0</v>
      </c>
      <c r="K46" s="246">
        <f t="shared" si="48"/>
        <v>0</v>
      </c>
      <c r="L46" s="246">
        <f t="shared" si="48"/>
        <v>0</v>
      </c>
      <c r="M46" s="246">
        <f t="shared" si="48"/>
        <v>0</v>
      </c>
      <c r="N46" s="246">
        <f t="shared" si="48"/>
        <v>0</v>
      </c>
      <c r="O46" s="246">
        <f t="shared" si="48"/>
        <v>0</v>
      </c>
      <c r="P46" s="246">
        <f t="shared" si="48"/>
        <v>0</v>
      </c>
      <c r="Q46" s="246">
        <f t="shared" si="48"/>
        <v>0</v>
      </c>
      <c r="R46" s="246">
        <f t="shared" si="48"/>
        <v>0</v>
      </c>
      <c r="S46" s="246">
        <f t="shared" si="48"/>
        <v>0</v>
      </c>
      <c r="T46" s="246">
        <f t="shared" si="48"/>
        <v>0</v>
      </c>
      <c r="U46" s="246">
        <f t="shared" si="48"/>
        <v>0</v>
      </c>
      <c r="V46" s="246">
        <f t="shared" si="48"/>
        <v>0</v>
      </c>
      <c r="W46" s="246">
        <f t="shared" si="48"/>
        <v>0</v>
      </c>
      <c r="X46" s="246">
        <f t="shared" si="48"/>
        <v>0</v>
      </c>
      <c r="Y46" s="246">
        <f t="shared" si="48"/>
        <v>0</v>
      </c>
      <c r="Z46" s="246">
        <f t="shared" si="48"/>
        <v>0</v>
      </c>
      <c r="AA46" s="246">
        <f t="shared" si="48"/>
        <v>0</v>
      </c>
      <c r="AB46" s="246">
        <f t="shared" si="48"/>
        <v>0</v>
      </c>
      <c r="AC46" s="246">
        <f t="shared" si="48"/>
        <v>0</v>
      </c>
      <c r="AD46" s="246">
        <f t="shared" si="48"/>
        <v>0</v>
      </c>
      <c r="AE46" s="246">
        <f t="shared" si="48"/>
        <v>0</v>
      </c>
      <c r="AF46" s="246">
        <f t="shared" si="48"/>
        <v>0</v>
      </c>
      <c r="AG46" s="246">
        <f t="shared" si="48"/>
        <v>0</v>
      </c>
      <c r="AH46" s="246">
        <f t="shared" si="48"/>
        <v>0</v>
      </c>
      <c r="AI46" s="246">
        <f t="shared" si="48"/>
        <v>0</v>
      </c>
      <c r="AJ46" s="246">
        <f t="shared" si="48"/>
        <v>0</v>
      </c>
      <c r="AK46" s="246">
        <f t="shared" si="48"/>
        <v>0</v>
      </c>
    </row>
    <row r="47" spans="2:52" ht="30" customHeight="1" thickBot="1">
      <c r="B47" s="377"/>
      <c r="C47" s="256" t="s">
        <v>40</v>
      </c>
      <c r="D47" s="246"/>
      <c r="E47" s="246"/>
      <c r="F47" s="246"/>
      <c r="G47" s="249" t="str">
        <f>IF(AND(G38&gt;=1,G39&gt;=1,G40&gt;=1,G41&gt;=1,G43&gt;=1,G44&gt;=1),"成立",IF(AND(G43&gt;=1,G44&gt;=1,G39&gt;=1,G40&gt;=1,G41&gt;=1),"条件付","不成立"))</f>
        <v>不成立</v>
      </c>
      <c r="H47" s="249" t="str">
        <f t="shared" ref="H47:AK47" si="49">IF(AND(H38&gt;=1,H39&gt;=1,H40&gt;=1,H41&gt;=1,H43&gt;=1,H44&gt;=1),"成立",IF(AND(H43&gt;=1,H44&gt;=1,H39&gt;=1,H40&gt;=1,H41&gt;=1),"条件付","不成立"))</f>
        <v>不成立</v>
      </c>
      <c r="I47" s="249" t="str">
        <f t="shared" si="49"/>
        <v>不成立</v>
      </c>
      <c r="J47" s="249" t="str">
        <f t="shared" si="49"/>
        <v>不成立</v>
      </c>
      <c r="K47" s="249" t="str">
        <f t="shared" si="49"/>
        <v>不成立</v>
      </c>
      <c r="L47" s="249" t="str">
        <f t="shared" si="49"/>
        <v>不成立</v>
      </c>
      <c r="M47" s="249" t="str">
        <f t="shared" si="49"/>
        <v>不成立</v>
      </c>
      <c r="N47" s="249" t="str">
        <f t="shared" si="49"/>
        <v>不成立</v>
      </c>
      <c r="O47" s="249" t="str">
        <f t="shared" si="49"/>
        <v>不成立</v>
      </c>
      <c r="P47" s="249" t="str">
        <f t="shared" si="49"/>
        <v>不成立</v>
      </c>
      <c r="Q47" s="249" t="str">
        <f t="shared" si="49"/>
        <v>不成立</v>
      </c>
      <c r="R47" s="249" t="str">
        <f t="shared" si="49"/>
        <v>不成立</v>
      </c>
      <c r="S47" s="249" t="str">
        <f t="shared" si="49"/>
        <v>不成立</v>
      </c>
      <c r="T47" s="249" t="str">
        <f t="shared" si="49"/>
        <v>不成立</v>
      </c>
      <c r="U47" s="249" t="str">
        <f t="shared" si="49"/>
        <v>不成立</v>
      </c>
      <c r="V47" s="249" t="str">
        <f t="shared" si="49"/>
        <v>不成立</v>
      </c>
      <c r="W47" s="249" t="str">
        <f t="shared" si="49"/>
        <v>不成立</v>
      </c>
      <c r="X47" s="249" t="str">
        <f t="shared" si="49"/>
        <v>不成立</v>
      </c>
      <c r="Y47" s="249" t="str">
        <f t="shared" si="49"/>
        <v>不成立</v>
      </c>
      <c r="Z47" s="249" t="str">
        <f t="shared" si="49"/>
        <v>不成立</v>
      </c>
      <c r="AA47" s="249" t="str">
        <f t="shared" si="49"/>
        <v>不成立</v>
      </c>
      <c r="AB47" s="249" t="str">
        <f t="shared" si="49"/>
        <v>不成立</v>
      </c>
      <c r="AC47" s="249" t="str">
        <f t="shared" si="49"/>
        <v>不成立</v>
      </c>
      <c r="AD47" s="249" t="str">
        <f t="shared" si="49"/>
        <v>不成立</v>
      </c>
      <c r="AE47" s="249" t="str">
        <f t="shared" si="49"/>
        <v>不成立</v>
      </c>
      <c r="AF47" s="249" t="str">
        <f t="shared" si="49"/>
        <v>不成立</v>
      </c>
      <c r="AG47" s="249" t="str">
        <f t="shared" si="49"/>
        <v>不成立</v>
      </c>
      <c r="AH47" s="249" t="str">
        <f t="shared" si="49"/>
        <v>不成立</v>
      </c>
      <c r="AI47" s="249" t="str">
        <f t="shared" si="49"/>
        <v>不成立</v>
      </c>
      <c r="AJ47" s="249" t="str">
        <f t="shared" si="49"/>
        <v>不成立</v>
      </c>
      <c r="AK47" s="249" t="str">
        <f t="shared" si="49"/>
        <v>不成立</v>
      </c>
    </row>
    <row r="48" spans="2:52" ht="29.25" customHeight="1"/>
    <row r="49" spans="5:22" ht="29.25" customHeight="1"/>
    <row r="50" spans="5:22" ht="29.25" customHeight="1" thickBot="1"/>
    <row r="51" spans="5:22" ht="29.25" customHeight="1" thickBot="1">
      <c r="G51" s="378" t="s">
        <v>41</v>
      </c>
      <c r="H51" s="379"/>
      <c r="I51" s="379"/>
      <c r="J51" s="379"/>
      <c r="K51" s="379"/>
      <c r="L51" s="380"/>
      <c r="P51" s="357" t="s">
        <v>84</v>
      </c>
      <c r="Q51" s="358"/>
      <c r="R51" s="358"/>
      <c r="S51" s="358"/>
      <c r="T51" s="358"/>
      <c r="U51" s="358"/>
      <c r="V51" s="359"/>
    </row>
    <row r="52" spans="5:22" ht="29.25" customHeight="1" thickTop="1">
      <c r="G52" s="263" t="s">
        <v>13</v>
      </c>
      <c r="H52" s="351">
        <v>0.375</v>
      </c>
      <c r="I52" s="352"/>
      <c r="J52" s="264" t="s">
        <v>42</v>
      </c>
      <c r="K52" s="352">
        <v>0.70833333333333337</v>
      </c>
      <c r="L52" s="355"/>
      <c r="P52" s="364" t="s">
        <v>84</v>
      </c>
      <c r="Q52" s="365"/>
      <c r="R52" s="366"/>
      <c r="S52" s="360" t="s">
        <v>68</v>
      </c>
      <c r="T52" s="361"/>
      <c r="U52" s="267" t="s">
        <v>59</v>
      </c>
      <c r="V52" s="268" t="s">
        <v>1</v>
      </c>
    </row>
    <row r="53" spans="5:22" ht="29.25" customHeight="1">
      <c r="G53" s="261" t="s">
        <v>58</v>
      </c>
      <c r="H53" s="353">
        <v>0.3125</v>
      </c>
      <c r="I53" s="354"/>
      <c r="J53" s="259" t="s">
        <v>42</v>
      </c>
      <c r="K53" s="354">
        <v>0.64583333333333337</v>
      </c>
      <c r="L53" s="356"/>
      <c r="P53" s="341" t="s">
        <v>84</v>
      </c>
      <c r="Q53" s="342"/>
      <c r="R53" s="343"/>
      <c r="S53" s="362" t="s">
        <v>68</v>
      </c>
      <c r="T53" s="363"/>
      <c r="U53" s="265" t="s">
        <v>58</v>
      </c>
      <c r="V53" s="269" t="s">
        <v>1</v>
      </c>
    </row>
    <row r="54" spans="5:22" ht="29.25" customHeight="1" thickBot="1">
      <c r="G54" s="261" t="s">
        <v>1</v>
      </c>
      <c r="H54" s="381">
        <v>0.52083333333333337</v>
      </c>
      <c r="I54" s="382"/>
      <c r="J54" s="259" t="s">
        <v>42</v>
      </c>
      <c r="K54" s="387">
        <v>0.85416666666666663</v>
      </c>
      <c r="L54" s="388"/>
      <c r="P54" s="433" t="s">
        <v>84</v>
      </c>
      <c r="Q54" s="434"/>
      <c r="R54" s="435"/>
      <c r="S54" s="386" t="s">
        <v>68</v>
      </c>
      <c r="T54" s="386"/>
      <c r="U54" s="284" t="s">
        <v>13</v>
      </c>
      <c r="V54" s="436" t="s">
        <v>1</v>
      </c>
    </row>
    <row r="55" spans="5:22" ht="29.25" customHeight="1">
      <c r="E55" s="258"/>
      <c r="F55" s="245" t="s">
        <v>13</v>
      </c>
      <c r="G55" s="261" t="s">
        <v>59</v>
      </c>
      <c r="H55" s="381">
        <v>0.35416666666666669</v>
      </c>
      <c r="I55" s="382"/>
      <c r="J55" s="259" t="s">
        <v>42</v>
      </c>
      <c r="K55" s="387">
        <v>0.6875</v>
      </c>
      <c r="L55" s="388"/>
      <c r="M55" s="245"/>
      <c r="N55" s="245"/>
      <c r="O55" s="245"/>
      <c r="P55" s="437"/>
      <c r="Q55" s="438"/>
      <c r="R55" s="438"/>
      <c r="S55" s="439"/>
      <c r="T55" s="439"/>
      <c r="U55" s="440"/>
      <c r="V55" s="441"/>
    </row>
    <row r="56" spans="5:22" ht="29.25" customHeight="1" thickBot="1">
      <c r="E56" s="258"/>
      <c r="F56" s="245" t="s">
        <v>58</v>
      </c>
      <c r="G56" s="262" t="s">
        <v>83</v>
      </c>
      <c r="H56" s="383">
        <v>0.70833333333333337</v>
      </c>
      <c r="I56" s="384"/>
      <c r="J56" s="260" t="s">
        <v>42</v>
      </c>
      <c r="K56" s="389">
        <v>0.375</v>
      </c>
      <c r="L56" s="390"/>
      <c r="M56" s="245"/>
      <c r="N56" s="245"/>
      <c r="O56" s="245"/>
      <c r="P56" s="442"/>
      <c r="Q56" s="443"/>
      <c r="R56" s="443"/>
      <c r="S56" s="444"/>
      <c r="T56" s="444"/>
      <c r="U56" s="445"/>
      <c r="V56" s="446"/>
    </row>
    <row r="57" spans="5:22" ht="29.25" customHeight="1">
      <c r="E57" s="258"/>
      <c r="F57" s="245" t="s">
        <v>1</v>
      </c>
      <c r="M57" s="245"/>
      <c r="N57" s="245"/>
      <c r="O57" s="245"/>
      <c r="P57" s="442"/>
      <c r="Q57" s="443"/>
      <c r="R57" s="443"/>
      <c r="S57" s="444"/>
      <c r="T57" s="444"/>
      <c r="U57" s="445"/>
      <c r="V57" s="446"/>
    </row>
    <row r="58" spans="5:22" ht="29.25" customHeight="1">
      <c r="E58" s="258"/>
      <c r="F58" s="245" t="s">
        <v>59</v>
      </c>
      <c r="M58" s="245"/>
      <c r="N58" s="245"/>
      <c r="O58" s="245"/>
    </row>
    <row r="59" spans="5:22" ht="29.25" customHeight="1">
      <c r="E59" s="258"/>
      <c r="F59" s="245" t="s">
        <v>68</v>
      </c>
      <c r="M59" s="245"/>
      <c r="N59" s="245"/>
      <c r="O59" s="245"/>
    </row>
    <row r="60" spans="5:22" ht="29.25" customHeight="1">
      <c r="E60" s="258"/>
      <c r="F60" s="245"/>
      <c r="G60" s="245"/>
      <c r="H60" s="245"/>
      <c r="I60" s="245"/>
      <c r="J60" s="245"/>
      <c r="K60" s="245"/>
      <c r="L60" s="245"/>
      <c r="M60" s="245"/>
      <c r="N60" s="245"/>
      <c r="O60" s="245"/>
      <c r="P60" s="245"/>
      <c r="Q60" s="245"/>
      <c r="R60" s="258"/>
    </row>
    <row r="61" spans="5:22" ht="29.25" customHeight="1">
      <c r="E61" s="258"/>
      <c r="O61" s="245"/>
      <c r="P61" s="245"/>
      <c r="Q61" s="245"/>
      <c r="R61" s="258"/>
    </row>
    <row r="62" spans="5:22" ht="29.25" customHeight="1">
      <c r="E62" s="258"/>
      <c r="O62" s="258"/>
      <c r="P62" s="258"/>
      <c r="Q62" s="258"/>
      <c r="R62" s="258"/>
    </row>
    <row r="63" spans="5:22" ht="29.25" customHeight="1"/>
    <row r="64" spans="5:22" ht="29.25" customHeight="1"/>
    <row r="65" s="132" customFormat="1" ht="29.25" customHeight="1"/>
    <row r="66" s="132" customFormat="1" ht="29.25" customHeight="1"/>
    <row r="67" s="132" customFormat="1" ht="29.25" customHeight="1"/>
    <row r="68" s="132" customFormat="1" ht="29.25" customHeight="1"/>
    <row r="69" s="132" customFormat="1" ht="29.25" customHeight="1"/>
    <row r="70" s="132" customFormat="1" ht="29.25" customHeight="1"/>
    <row r="71" s="132" customFormat="1" ht="29.25" customHeight="1"/>
    <row r="72" s="132" customFormat="1" ht="29.25" customHeight="1"/>
    <row r="73" s="132" customFormat="1" ht="29.25" customHeight="1"/>
    <row r="74" s="132" customFormat="1" ht="29.25" customHeight="1"/>
    <row r="75" s="132" customFormat="1" ht="29.25" customHeight="1"/>
    <row r="76" s="132" customFormat="1" ht="29.25" customHeight="1"/>
    <row r="77" s="132" customFormat="1" ht="29.25" customHeight="1"/>
    <row r="78" s="132" customFormat="1" ht="29.25" customHeight="1"/>
    <row r="79" s="132" customFormat="1" ht="29.25" customHeight="1"/>
    <row r="80" s="132" customFormat="1" ht="29.25" customHeight="1"/>
    <row r="81" s="132" customFormat="1" ht="29.25" customHeight="1"/>
    <row r="82" s="132" customFormat="1" ht="29.25" customHeight="1"/>
    <row r="83" s="132" customFormat="1" ht="29.25" customHeight="1"/>
    <row r="84" s="132" customFormat="1" ht="29.25" customHeight="1"/>
    <row r="85" s="132" customFormat="1" ht="29.25" customHeight="1"/>
    <row r="86" s="132" customFormat="1" ht="29.25" customHeight="1"/>
    <row r="87" s="132" customFormat="1" ht="29.25" customHeight="1"/>
    <row r="88" s="132" customFormat="1" ht="29.25" customHeight="1"/>
    <row r="89" s="132" customFormat="1" ht="29.25" customHeight="1"/>
    <row r="90" s="132" customFormat="1" ht="29.25" customHeight="1"/>
    <row r="91" s="132" customFormat="1" ht="29.25" customHeight="1"/>
    <row r="92" s="132" customFormat="1" ht="29.25" customHeight="1"/>
    <row r="93" s="132" customFormat="1" ht="29.25" customHeight="1"/>
    <row r="94" s="132" customFormat="1" ht="29.25" customHeight="1"/>
    <row r="95" s="132" customFormat="1" ht="29.25" customHeight="1"/>
    <row r="96" s="132" customFormat="1" ht="29.25" customHeight="1"/>
    <row r="97" s="132" customFormat="1" ht="29.25" customHeight="1"/>
    <row r="98" s="132" customFormat="1" ht="29.25" customHeight="1"/>
    <row r="99" s="132" customFormat="1" ht="29.25" customHeight="1"/>
    <row r="100" s="132" customFormat="1" ht="29.25" customHeight="1"/>
    <row r="101" s="132" customFormat="1" ht="29.25" customHeight="1"/>
    <row r="102" s="132" customFormat="1" ht="29.25" customHeight="1"/>
    <row r="103" s="132" customFormat="1" ht="29.25" customHeight="1"/>
    <row r="104" s="132" customFormat="1" ht="29.25" customHeight="1"/>
  </sheetData>
  <dataConsolidate/>
  <mergeCells count="30">
    <mergeCell ref="P57:R57"/>
    <mergeCell ref="S57:T57"/>
    <mergeCell ref="G2:J2"/>
    <mergeCell ref="L2:O2"/>
    <mergeCell ref="B27:B35"/>
    <mergeCell ref="B38:B47"/>
    <mergeCell ref="G51:L51"/>
    <mergeCell ref="H54:I54"/>
    <mergeCell ref="H55:I55"/>
    <mergeCell ref="H56:I56"/>
    <mergeCell ref="S54:T54"/>
    <mergeCell ref="S55:T55"/>
    <mergeCell ref="S56:T56"/>
    <mergeCell ref="K54:L54"/>
    <mergeCell ref="K55:L55"/>
    <mergeCell ref="K56:L56"/>
    <mergeCell ref="P54:R54"/>
    <mergeCell ref="P55:R55"/>
    <mergeCell ref="P56:R56"/>
    <mergeCell ref="AD3:AK3"/>
    <mergeCell ref="B4:C5"/>
    <mergeCell ref="H52:I52"/>
    <mergeCell ref="H53:I53"/>
    <mergeCell ref="K52:L52"/>
    <mergeCell ref="K53:L53"/>
    <mergeCell ref="P51:V51"/>
    <mergeCell ref="S52:T52"/>
    <mergeCell ref="S53:T53"/>
    <mergeCell ref="P52:R52"/>
    <mergeCell ref="P53:R53"/>
  </mergeCells>
  <phoneticPr fontId="1"/>
  <conditionalFormatting sqref="D6:F19">
    <cfRule type="containsText" dxfId="620" priority="17" operator="containsText" text="希">
      <formula>NOT(ISERROR(SEARCH("希",D6)))</formula>
    </cfRule>
    <cfRule type="containsText" dxfId="619" priority="10" operator="containsText" text="A">
      <formula>NOT(ISERROR(SEARCH("A",D6)))</formula>
    </cfRule>
    <cfRule type="containsText" dxfId="618" priority="11" operator="containsText" text="B">
      <formula>NOT(ISERROR(SEARCH("B",D6)))</formula>
    </cfRule>
    <cfRule type="containsText" dxfId="617" priority="12" operator="containsText" text="C">
      <formula>NOT(ISERROR(SEARCH("C",D6)))</formula>
    </cfRule>
    <cfRule type="containsText" dxfId="616" priority="13" operator="containsText" text="D">
      <formula>NOT(ISERROR(SEARCH("D",D6)))</formula>
    </cfRule>
    <cfRule type="containsText" dxfId="615" priority="14" operator="containsText" text="E">
      <formula>NOT(ISERROR(SEARCH("E",D6)))</formula>
    </cfRule>
    <cfRule type="containsText" dxfId="614" priority="15" operator="containsText" text="夜">
      <formula>NOT(ISERROR(SEARCH("夜",D6)))</formula>
    </cfRule>
    <cfRule type="containsText" dxfId="613" priority="16" operator="containsText" text="明">
      <formula>NOT(ISERROR(SEARCH("明",D6)))</formula>
    </cfRule>
  </conditionalFormatting>
  <conditionalFormatting sqref="D6:F25">
    <cfRule type="containsText" dxfId="612" priority="22" operator="containsText" text="研">
      <formula>NOT(ISERROR(SEARCH("研",D6)))</formula>
    </cfRule>
    <cfRule type="containsText" dxfId="611" priority="21" operator="containsText" text="調2">
      <formula>NOT(ISERROR(SEARCH("調2",D6)))</formula>
    </cfRule>
    <cfRule type="containsText" dxfId="610" priority="20" operator="containsText" text="調1">
      <formula>NOT(ISERROR(SEARCH("調1",D6)))</formula>
    </cfRule>
    <cfRule type="containsText" dxfId="609" priority="19" operator="containsText" text="有">
      <formula>NOT(ISERROR(SEARCH("有",D6)))</formula>
    </cfRule>
    <cfRule type="containsText" dxfId="608" priority="18" operator="containsText" text="休">
      <formula>NOT(ISERROR(SEARCH("休",D6)))</formula>
    </cfRule>
    <cfRule type="containsText" dxfId="607" priority="9" operator="containsText" text="健">
      <formula>NOT(ISERROR(SEARCH("健",D6)))</formula>
    </cfRule>
  </conditionalFormatting>
  <conditionalFormatting sqref="D5:AK5">
    <cfRule type="containsText" dxfId="606" priority="2887" operator="containsText" text="土">
      <formula>NOT(ISERROR(SEARCH("土",D5)))</formula>
    </cfRule>
    <cfRule type="containsText" dxfId="605" priority="2889" operator="containsText" text="日">
      <formula>NOT(ISERROR(SEARCH("日",D5)))</formula>
    </cfRule>
  </conditionalFormatting>
  <conditionalFormatting sqref="G6:AK19">
    <cfRule type="containsText" dxfId="604" priority="40" operator="containsText" text="Ａ">
      <formula>NOT(ISERROR(SEARCH("Ａ",G6)))</formula>
    </cfRule>
    <cfRule type="containsText" dxfId="603" priority="47" operator="containsText" text="希">
      <formula>NOT(ISERROR(SEARCH("希",G6)))</formula>
    </cfRule>
    <cfRule type="containsText" dxfId="602" priority="46" operator="containsText" text="明">
      <formula>NOT(ISERROR(SEARCH("明",G6)))</formula>
    </cfRule>
    <cfRule type="containsText" dxfId="601" priority="45" operator="containsText" text="夜">
      <formula>NOT(ISERROR(SEARCH("夜",G6)))</formula>
    </cfRule>
    <cfRule type="containsText" dxfId="600" priority="44" operator="containsText" text="Ｅ">
      <formula>NOT(ISERROR(SEARCH("Ｅ",G6)))</formula>
    </cfRule>
    <cfRule type="containsText" dxfId="599" priority="43" operator="containsText" text="Ｄ">
      <formula>NOT(ISERROR(SEARCH("Ｄ",G6)))</formula>
    </cfRule>
    <cfRule type="containsText" dxfId="598" priority="42" operator="containsText" text="Ｃ">
      <formula>NOT(ISERROR(SEARCH("Ｃ",G6)))</formula>
    </cfRule>
    <cfRule type="containsText" dxfId="597" priority="41" operator="containsText" text="Ｂ">
      <formula>NOT(ISERROR(SEARCH("Ｂ",G6)))</formula>
    </cfRule>
  </conditionalFormatting>
  <conditionalFormatting sqref="G6:AK25">
    <cfRule type="containsText" dxfId="596" priority="52" operator="containsText" text="研">
      <formula>NOT(ISERROR(SEARCH("研",G6)))</formula>
    </cfRule>
    <cfRule type="containsText" dxfId="595" priority="51" operator="containsText" text="調2">
      <formula>NOT(ISERROR(SEARCH("調2",G6)))</formula>
    </cfRule>
    <cfRule type="containsText" dxfId="594" priority="50" operator="containsText" text="調1">
      <formula>NOT(ISERROR(SEARCH("調1",G6)))</formula>
    </cfRule>
    <cfRule type="containsText" dxfId="593" priority="49" operator="containsText" text="有">
      <formula>NOT(ISERROR(SEARCH("有",G6)))</formula>
    </cfRule>
    <cfRule type="containsText" dxfId="592" priority="48" operator="containsText" text="休">
      <formula>NOT(ISERROR(SEARCH("休",G6)))</formula>
    </cfRule>
    <cfRule type="containsText" dxfId="591" priority="39" operator="containsText" text="健">
      <formula>NOT(ISERROR(SEARCH("健",G6)))</formula>
    </cfRule>
  </conditionalFormatting>
  <conditionalFormatting sqref="G27:AK32">
    <cfRule type="cellIs" dxfId="590" priority="3034" operator="equal">
      <formula>0</formula>
    </cfRule>
  </conditionalFormatting>
  <conditionalFormatting sqref="G34:AK34">
    <cfRule type="cellIs" dxfId="589" priority="2895" operator="equal">
      <formula>0</formula>
    </cfRule>
  </conditionalFormatting>
  <conditionalFormatting sqref="G35:AK35">
    <cfRule type="containsText" dxfId="588" priority="2893" operator="containsText" text="30分残業">
      <formula>NOT(ISERROR(SEARCH("30分残業",G35)))</formula>
    </cfRule>
    <cfRule type="containsText" dxfId="587" priority="2894" operator="containsText" text="不成立">
      <formula>NOT(ISERROR(SEARCH("不成立",G35)))</formula>
    </cfRule>
  </conditionalFormatting>
  <conditionalFormatting sqref="G38:AK45">
    <cfRule type="cellIs" dxfId="586" priority="3061" operator="equal">
      <formula>0</formula>
    </cfRule>
  </conditionalFormatting>
  <conditionalFormatting sqref="G47:AK47">
    <cfRule type="containsText" dxfId="585" priority="2891" operator="containsText" text="条件付">
      <formula>NOT(ISERROR(SEARCH("条件付",G47)))</formula>
    </cfRule>
    <cfRule type="containsText" dxfId="584" priority="2892" operator="containsText" text="不成立">
      <formula>NOT(ISERROR(SEARCH("不成立",G47)))</formula>
    </cfRule>
    <cfRule type="cellIs" dxfId="583" priority="3035" operator="equal">
      <formula>0</formula>
    </cfRule>
  </conditionalFormatting>
  <conditionalFormatting sqref="Q24">
    <cfRule type="containsText" dxfId="582" priority="32" operator="containsText" text="Ｂ">
      <formula>NOT(ISERROR(SEARCH("Ｂ",Q24)))</formula>
    </cfRule>
    <cfRule type="containsText" dxfId="581" priority="38" operator="containsText" text="希">
      <formula>NOT(ISERROR(SEARCH("希",Q24)))</formula>
    </cfRule>
    <cfRule type="containsText" dxfId="580" priority="37" operator="containsText" text="明">
      <formula>NOT(ISERROR(SEARCH("明",Q24)))</formula>
    </cfRule>
    <cfRule type="containsText" dxfId="579" priority="36" operator="containsText" text="夜">
      <formula>NOT(ISERROR(SEARCH("夜",Q24)))</formula>
    </cfRule>
    <cfRule type="containsText" dxfId="578" priority="35" operator="containsText" text="Ｅ">
      <formula>NOT(ISERROR(SEARCH("Ｅ",Q24)))</formula>
    </cfRule>
    <cfRule type="containsText" dxfId="577" priority="34" operator="containsText" text="Ｄ">
      <formula>NOT(ISERROR(SEARCH("Ｄ",Q24)))</formula>
    </cfRule>
    <cfRule type="containsText" dxfId="576" priority="33" operator="containsText" text="Ｃ">
      <formula>NOT(ISERROR(SEARCH("Ｃ",Q24)))</formula>
    </cfRule>
    <cfRule type="containsText" dxfId="575" priority="31" operator="containsText" text="Ａ">
      <formula>NOT(ISERROR(SEARCH("Ａ",Q24)))</formula>
    </cfRule>
  </conditionalFormatting>
  <conditionalFormatting sqref="R20">
    <cfRule type="containsText" dxfId="574" priority="1" operator="containsText" text="Ａ">
      <formula>NOT(ISERROR(SEARCH("Ａ",R20)))</formula>
    </cfRule>
    <cfRule type="containsText" dxfId="573" priority="8" operator="containsText" text="希">
      <formula>NOT(ISERROR(SEARCH("希",R20)))</formula>
    </cfRule>
    <cfRule type="containsText" dxfId="572" priority="7" operator="containsText" text="明">
      <formula>NOT(ISERROR(SEARCH("明",R20)))</formula>
    </cfRule>
    <cfRule type="containsText" dxfId="571" priority="6" operator="containsText" text="夜">
      <formula>NOT(ISERROR(SEARCH("夜",R20)))</formula>
    </cfRule>
    <cfRule type="containsText" dxfId="570" priority="5" operator="containsText" text="Ｅ">
      <formula>NOT(ISERROR(SEARCH("Ｅ",R20)))</formula>
    </cfRule>
    <cfRule type="containsText" dxfId="569" priority="4" operator="containsText" text="Ｄ">
      <formula>NOT(ISERROR(SEARCH("Ｄ",R20)))</formula>
    </cfRule>
    <cfRule type="containsText" dxfId="568" priority="3" operator="containsText" text="Ｃ">
      <formula>NOT(ISERROR(SEARCH("Ｃ",R20)))</formula>
    </cfRule>
    <cfRule type="containsText" dxfId="567" priority="2" operator="containsText" text="Ｂ">
      <formula>NOT(ISERROR(SEARCH("Ｂ",R20)))</formula>
    </cfRule>
  </conditionalFormatting>
  <conditionalFormatting sqref="X24">
    <cfRule type="containsText" dxfId="566" priority="29" operator="containsText" text="明">
      <formula>NOT(ISERROR(SEARCH("明",X24)))</formula>
    </cfRule>
    <cfRule type="containsText" dxfId="565" priority="28" operator="containsText" text="夜">
      <formula>NOT(ISERROR(SEARCH("夜",X24)))</formula>
    </cfRule>
    <cfRule type="containsText" dxfId="564" priority="27" operator="containsText" text="Ｅ">
      <formula>NOT(ISERROR(SEARCH("Ｅ",X24)))</formula>
    </cfRule>
    <cfRule type="containsText" dxfId="563" priority="26" operator="containsText" text="Ｄ">
      <formula>NOT(ISERROR(SEARCH("Ｄ",X24)))</formula>
    </cfRule>
    <cfRule type="containsText" dxfId="562" priority="30" operator="containsText" text="希">
      <formula>NOT(ISERROR(SEARCH("希",X24)))</formula>
    </cfRule>
    <cfRule type="containsText" dxfId="561" priority="24" operator="containsText" text="Ｂ">
      <formula>NOT(ISERROR(SEARCH("Ｂ",X24)))</formula>
    </cfRule>
    <cfRule type="containsText" dxfId="560" priority="23" operator="containsText" text="Ａ">
      <formula>NOT(ISERROR(SEARCH("Ａ",X24)))</formula>
    </cfRule>
    <cfRule type="containsText" dxfId="559" priority="25" operator="containsText" text="Ｃ">
      <formula>NOT(ISERROR(SEARCH("Ｃ",X24)))</formula>
    </cfRule>
  </conditionalFormatting>
  <conditionalFormatting sqref="BA6:BA26">
    <cfRule type="containsText" dxfId="558" priority="2890" operator="containsText" text="NG">
      <formula>NOT(ISERROR(SEARCH("NG",BA6)))</formula>
    </cfRule>
  </conditionalFormatting>
  <printOptions horizontalCentered="1" verticalCentered="1"/>
  <pageMargins left="0.11811023622047245" right="0.11811023622047245" top="0.15748031496062992" bottom="0.15748031496062992" header="0.31496062992125984" footer="0.31496062992125984"/>
  <pageSetup paperSize="9" scale="73" orientation="landscape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DD82493-DC8B-4443-A565-BAC494F47038}">
          <x14:formula1>
            <xm:f>リスト表!$B$2:$B$6</xm:f>
          </x14:formula1>
          <xm:sqref>G19:AK19</xm:sqref>
        </x14:dataValidation>
        <x14:dataValidation type="list" allowBlank="1" showInputMessage="1" showErrorMessage="1" xr:uid="{7BB3BCEE-2940-1F4B-AED3-86B5D104BD68}">
          <x14:formula1>
            <xm:f>リスト表!$A$2:$A$15</xm:f>
          </x14:formula1>
          <xm:sqref>D4:F5 X24 Q24 R20 G4:Q18 S4:AK18 R4:R5 R7:R18</xm:sqref>
        </x14:dataValidation>
        <x14:dataValidation type="list" allowBlank="1" showInputMessage="1" showErrorMessage="1" xr:uid="{B1F9900A-7A35-8D4C-BA29-D094F46467F1}">
          <x14:formula1>
            <xm:f>リスト表!$A$9:$A$15</xm:f>
          </x14:formula1>
          <xm:sqref>G20:P25 Q25 Q20:Q23 X25 Y20:AK25 X20:X23 S20:W25 R21:R25 R6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2020-92EF-9F48-9E53-7371FF6DA9D7}">
  <dimension ref="C4:I24"/>
  <sheetViews>
    <sheetView workbookViewId="0">
      <selection activeCell="I15" sqref="I15"/>
    </sheetView>
  </sheetViews>
  <sheetFormatPr baseColWidth="10" defaultRowHeight="19"/>
  <cols>
    <col min="3" max="3" width="10.83203125" style="125"/>
    <col min="6" max="6" width="13.1640625" customWidth="1"/>
  </cols>
  <sheetData>
    <row r="4" spans="3:9">
      <c r="C4" s="125" t="s">
        <v>13</v>
      </c>
      <c r="D4">
        <v>22</v>
      </c>
    </row>
    <row r="5" spans="3:9">
      <c r="C5" s="125" t="s">
        <v>58</v>
      </c>
      <c r="D5">
        <v>30</v>
      </c>
    </row>
    <row r="6" spans="3:9">
      <c r="C6" s="125" t="s">
        <v>1</v>
      </c>
      <c r="D6">
        <v>30</v>
      </c>
    </row>
    <row r="7" spans="3:9">
      <c r="C7" s="125" t="s">
        <v>59</v>
      </c>
      <c r="D7">
        <v>30</v>
      </c>
      <c r="E7">
        <f>SUM(D4:D7)</f>
        <v>112</v>
      </c>
    </row>
    <row r="8" spans="3:9">
      <c r="C8" s="125" t="s">
        <v>87</v>
      </c>
      <c r="D8">
        <v>30</v>
      </c>
    </row>
    <row r="9" spans="3:9">
      <c r="C9" s="125" t="s">
        <v>88</v>
      </c>
      <c r="D9">
        <v>30</v>
      </c>
    </row>
    <row r="10" spans="3:9">
      <c r="C10" s="125" t="s">
        <v>89</v>
      </c>
      <c r="D10">
        <f>SUM(D4:D9)</f>
        <v>172</v>
      </c>
    </row>
    <row r="11" spans="3:9">
      <c r="D11" t="s">
        <v>90</v>
      </c>
      <c r="E11" t="s">
        <v>91</v>
      </c>
      <c r="F11" t="s">
        <v>93</v>
      </c>
      <c r="G11" t="s">
        <v>95</v>
      </c>
      <c r="H11" t="s">
        <v>94</v>
      </c>
      <c r="I11" t="s">
        <v>92</v>
      </c>
    </row>
    <row r="12" spans="3:9" ht="17">
      <c r="C12" s="278" t="s">
        <v>5</v>
      </c>
      <c r="D12">
        <v>19</v>
      </c>
      <c r="F12">
        <f>D12-E12</f>
        <v>19</v>
      </c>
      <c r="G12">
        <v>18</v>
      </c>
      <c r="H12">
        <v>1</v>
      </c>
      <c r="I12">
        <f>F12-G12-H12</f>
        <v>0</v>
      </c>
    </row>
    <row r="13" spans="3:9" ht="17">
      <c r="C13" s="278" t="s">
        <v>8</v>
      </c>
      <c r="D13">
        <v>21</v>
      </c>
      <c r="E13">
        <v>2</v>
      </c>
      <c r="F13">
        <f t="shared" ref="F13:F22" si="0">D13-E13</f>
        <v>19</v>
      </c>
      <c r="G13">
        <v>12</v>
      </c>
      <c r="I13">
        <f t="shared" ref="I13:I22" si="1">F13-G13-H13</f>
        <v>7</v>
      </c>
    </row>
    <row r="14" spans="3:9" ht="17">
      <c r="C14" s="278" t="s">
        <v>6</v>
      </c>
      <c r="D14">
        <v>0</v>
      </c>
      <c r="F14">
        <f t="shared" si="0"/>
        <v>0</v>
      </c>
      <c r="I14">
        <f t="shared" si="1"/>
        <v>0</v>
      </c>
    </row>
    <row r="15" spans="3:9" ht="17">
      <c r="C15" s="278" t="s">
        <v>28</v>
      </c>
      <c r="D15">
        <v>21</v>
      </c>
      <c r="F15">
        <f t="shared" si="0"/>
        <v>21</v>
      </c>
      <c r="G15">
        <v>8</v>
      </c>
      <c r="H15">
        <v>1</v>
      </c>
      <c r="I15">
        <f t="shared" si="1"/>
        <v>12</v>
      </c>
    </row>
    <row r="16" spans="3:9" ht="17">
      <c r="C16" s="279" t="s">
        <v>56</v>
      </c>
      <c r="D16">
        <v>14</v>
      </c>
      <c r="F16">
        <f t="shared" si="0"/>
        <v>14</v>
      </c>
      <c r="G16">
        <v>14</v>
      </c>
      <c r="I16">
        <f t="shared" si="1"/>
        <v>0</v>
      </c>
    </row>
    <row r="17" spans="3:9" ht="17">
      <c r="C17" s="278" t="s">
        <v>9</v>
      </c>
      <c r="D17">
        <v>17</v>
      </c>
      <c r="F17">
        <f t="shared" si="0"/>
        <v>17</v>
      </c>
      <c r="H17">
        <v>1</v>
      </c>
      <c r="I17">
        <f t="shared" si="1"/>
        <v>16</v>
      </c>
    </row>
    <row r="18" spans="3:9" ht="17">
      <c r="C18" s="279" t="s">
        <v>10</v>
      </c>
      <c r="D18">
        <v>18</v>
      </c>
      <c r="E18">
        <v>2</v>
      </c>
      <c r="F18">
        <f t="shared" si="0"/>
        <v>16</v>
      </c>
      <c r="I18">
        <f t="shared" si="1"/>
        <v>16</v>
      </c>
    </row>
    <row r="19" spans="3:9" ht="17">
      <c r="C19" s="279" t="s">
        <v>20</v>
      </c>
      <c r="D19">
        <v>17</v>
      </c>
      <c r="F19">
        <f t="shared" si="0"/>
        <v>17</v>
      </c>
      <c r="I19">
        <f t="shared" si="1"/>
        <v>17</v>
      </c>
    </row>
    <row r="20" spans="3:9" ht="17">
      <c r="C20" s="278" t="s">
        <v>7</v>
      </c>
      <c r="D20">
        <v>10</v>
      </c>
      <c r="F20">
        <f t="shared" si="0"/>
        <v>10</v>
      </c>
      <c r="G20">
        <v>8</v>
      </c>
      <c r="I20">
        <f t="shared" si="1"/>
        <v>2</v>
      </c>
    </row>
    <row r="21" spans="3:9" ht="17">
      <c r="C21" s="279" t="s">
        <v>19</v>
      </c>
      <c r="D21">
        <v>21</v>
      </c>
      <c r="F21">
        <f t="shared" si="0"/>
        <v>21</v>
      </c>
      <c r="I21">
        <f t="shared" si="1"/>
        <v>21</v>
      </c>
    </row>
    <row r="22" spans="3:9" ht="17">
      <c r="C22" s="279" t="s">
        <v>16</v>
      </c>
      <c r="D22">
        <v>21</v>
      </c>
      <c r="F22">
        <f t="shared" si="0"/>
        <v>21</v>
      </c>
      <c r="I22">
        <f t="shared" si="1"/>
        <v>21</v>
      </c>
    </row>
    <row r="23" spans="3:9">
      <c r="C23" s="125" t="s">
        <v>89</v>
      </c>
      <c r="D23">
        <f>SUM(D12:D22)</f>
        <v>179</v>
      </c>
      <c r="E23">
        <f t="shared" ref="E23:I23" si="2">SUM(E12:E22)</f>
        <v>4</v>
      </c>
      <c r="F23">
        <f t="shared" si="2"/>
        <v>175</v>
      </c>
      <c r="G23">
        <f t="shared" si="2"/>
        <v>60</v>
      </c>
      <c r="H23">
        <f t="shared" si="2"/>
        <v>3</v>
      </c>
      <c r="I23">
        <f t="shared" si="2"/>
        <v>112</v>
      </c>
    </row>
    <row r="24" spans="3:9">
      <c r="I24">
        <f>G23+I23</f>
        <v>172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5E1E8-CC06-4D43-8C14-0ECFC2A970B0}">
  <sheetPr codeName="Sheet4"/>
  <dimension ref="A1:BG109"/>
  <sheetViews>
    <sheetView workbookViewId="0">
      <pane xSplit="4" ySplit="5" topLeftCell="X6" activePane="bottomRight" state="frozen"/>
      <selection pane="topRight" activeCell="E1" sqref="E1"/>
      <selection pane="bottomLeft" activeCell="A6" sqref="A6"/>
      <selection pane="bottomRight" activeCell="D14" sqref="D14"/>
    </sheetView>
  </sheetViews>
  <sheetFormatPr baseColWidth="10" defaultColWidth="9" defaultRowHeight="17"/>
  <cols>
    <col min="1" max="1" width="4.1640625" style="132" customWidth="1"/>
    <col min="2" max="2" width="16.83203125" style="132" customWidth="1"/>
    <col min="3" max="3" width="14.33203125" style="132" customWidth="1"/>
    <col min="4" max="4" width="20" style="132" customWidth="1"/>
    <col min="5" max="14" width="4.6640625" style="132" customWidth="1"/>
    <col min="15" max="15" width="4.5" style="132" customWidth="1"/>
    <col min="16" max="35" width="4.6640625" style="132" customWidth="1"/>
    <col min="36" max="36" width="3.6640625" style="132" customWidth="1"/>
    <col min="37" max="37" width="8.33203125" style="132" customWidth="1"/>
    <col min="38" max="44" width="8.6640625" style="132" customWidth="1"/>
    <col min="45" max="45" width="8.33203125" style="132" customWidth="1"/>
    <col min="46" max="46" width="8" style="132" customWidth="1"/>
    <col min="47" max="47" width="8.33203125" style="132" customWidth="1"/>
    <col min="48" max="48" width="8.6640625" style="132" customWidth="1"/>
    <col min="49" max="49" width="10.33203125" style="132" customWidth="1"/>
    <col min="50" max="50" width="14.1640625" style="132" customWidth="1"/>
    <col min="51" max="51" width="11" style="132" customWidth="1"/>
    <col min="52" max="16384" width="9" style="132"/>
  </cols>
  <sheetData>
    <row r="1" spans="1:51" ht="15" customHeight="1">
      <c r="N1" s="177"/>
      <c r="P1" s="177"/>
    </row>
    <row r="2" spans="1:51" ht="25" customHeight="1" thickBot="1">
      <c r="B2" s="178" t="s">
        <v>67</v>
      </c>
      <c r="C2" s="178"/>
      <c r="D2" s="133" t="s">
        <v>41</v>
      </c>
      <c r="E2" s="370">
        <f>入力フォーム!G2</f>
        <v>46143</v>
      </c>
      <c r="F2" s="370"/>
      <c r="G2" s="370"/>
      <c r="H2" s="370"/>
      <c r="I2" s="134" t="s">
        <v>42</v>
      </c>
      <c r="J2" s="371">
        <f>EOMONTH(E2,0)</f>
        <v>46173</v>
      </c>
      <c r="K2" s="371"/>
      <c r="L2" s="371"/>
      <c r="M2" s="371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  <c r="AC2" s="134"/>
      <c r="AD2" s="134"/>
      <c r="AE2" s="134"/>
      <c r="AF2" s="134"/>
      <c r="AG2" s="134"/>
      <c r="AH2" s="134"/>
      <c r="AI2" s="134"/>
      <c r="AL2" s="179"/>
      <c r="AM2" s="179"/>
      <c r="AN2" s="180"/>
    </row>
    <row r="3" spans="1:51" ht="25.5" customHeight="1" thickBot="1">
      <c r="D3" s="137"/>
      <c r="E3" s="138"/>
      <c r="F3" s="139"/>
      <c r="H3" s="139"/>
      <c r="I3" s="139"/>
      <c r="J3" s="139"/>
      <c r="K3" s="139"/>
      <c r="L3" s="140"/>
      <c r="M3" s="141"/>
      <c r="N3" s="142"/>
      <c r="O3" s="144"/>
      <c r="P3" s="144"/>
      <c r="Q3" s="144"/>
      <c r="R3" s="144"/>
      <c r="S3" s="144"/>
      <c r="T3" s="144"/>
      <c r="U3" s="142"/>
      <c r="V3" s="142"/>
      <c r="W3" s="181" t="s">
        <v>50</v>
      </c>
      <c r="X3" s="142"/>
      <c r="Y3" s="142"/>
      <c r="Z3" s="144"/>
      <c r="AA3" s="144"/>
      <c r="AB3" s="394"/>
      <c r="AC3" s="394"/>
      <c r="AD3" s="394"/>
      <c r="AE3" s="394"/>
      <c r="AF3" s="394"/>
      <c r="AG3" s="394"/>
      <c r="AH3" s="394"/>
      <c r="AI3" s="394"/>
      <c r="AY3" s="182">
        <f>MONTH(E2)</f>
        <v>5</v>
      </c>
    </row>
    <row r="4" spans="1:51" ht="27.75" customHeight="1">
      <c r="A4" s="183"/>
      <c r="B4" s="347"/>
      <c r="C4" s="395"/>
      <c r="D4" s="348"/>
      <c r="E4" s="250">
        <f>E2</f>
        <v>46143</v>
      </c>
      <c r="F4" s="172">
        <f>E4+1</f>
        <v>46144</v>
      </c>
      <c r="G4" s="172">
        <f t="shared" ref="G4:AI4" si="0">F4+1</f>
        <v>46145</v>
      </c>
      <c r="H4" s="172">
        <f t="shared" si="0"/>
        <v>46146</v>
      </c>
      <c r="I4" s="172">
        <f t="shared" si="0"/>
        <v>46147</v>
      </c>
      <c r="J4" s="172">
        <f t="shared" si="0"/>
        <v>46148</v>
      </c>
      <c r="K4" s="172">
        <f t="shared" si="0"/>
        <v>46149</v>
      </c>
      <c r="L4" s="172">
        <f t="shared" si="0"/>
        <v>46150</v>
      </c>
      <c r="M4" s="172">
        <f t="shared" si="0"/>
        <v>46151</v>
      </c>
      <c r="N4" s="172">
        <f t="shared" si="0"/>
        <v>46152</v>
      </c>
      <c r="O4" s="172">
        <f t="shared" si="0"/>
        <v>46153</v>
      </c>
      <c r="P4" s="172">
        <f t="shared" si="0"/>
        <v>46154</v>
      </c>
      <c r="Q4" s="172">
        <f t="shared" si="0"/>
        <v>46155</v>
      </c>
      <c r="R4" s="172">
        <f t="shared" si="0"/>
        <v>46156</v>
      </c>
      <c r="S4" s="172">
        <f t="shared" si="0"/>
        <v>46157</v>
      </c>
      <c r="T4" s="172">
        <f t="shared" si="0"/>
        <v>46158</v>
      </c>
      <c r="U4" s="172">
        <f t="shared" si="0"/>
        <v>46159</v>
      </c>
      <c r="V4" s="172">
        <f t="shared" si="0"/>
        <v>46160</v>
      </c>
      <c r="W4" s="172">
        <f t="shared" si="0"/>
        <v>46161</v>
      </c>
      <c r="X4" s="172">
        <f t="shared" si="0"/>
        <v>46162</v>
      </c>
      <c r="Y4" s="173">
        <f t="shared" si="0"/>
        <v>46163</v>
      </c>
      <c r="Z4" s="172">
        <f t="shared" si="0"/>
        <v>46164</v>
      </c>
      <c r="AA4" s="172">
        <f t="shared" si="0"/>
        <v>46165</v>
      </c>
      <c r="AB4" s="172">
        <f t="shared" si="0"/>
        <v>46166</v>
      </c>
      <c r="AC4" s="173">
        <f t="shared" si="0"/>
        <v>46167</v>
      </c>
      <c r="AD4" s="174">
        <f t="shared" si="0"/>
        <v>46168</v>
      </c>
      <c r="AE4" s="172">
        <f t="shared" si="0"/>
        <v>46169</v>
      </c>
      <c r="AF4" s="172">
        <f t="shared" si="0"/>
        <v>46170</v>
      </c>
      <c r="AG4" s="172">
        <f t="shared" si="0"/>
        <v>46171</v>
      </c>
      <c r="AH4" s="173">
        <f t="shared" si="0"/>
        <v>46172</v>
      </c>
      <c r="AI4" s="176">
        <f t="shared" si="0"/>
        <v>46173</v>
      </c>
      <c r="AJ4" s="184"/>
      <c r="AL4" s="185"/>
      <c r="AM4" s="185"/>
      <c r="AN4" s="185"/>
      <c r="AO4" s="185"/>
      <c r="AP4" s="185"/>
      <c r="AQ4" s="185"/>
      <c r="AR4" s="185"/>
      <c r="AV4" s="185"/>
      <c r="AW4" s="185"/>
      <c r="AX4" s="185"/>
    </row>
    <row r="5" spans="1:51" ht="27.75" customHeight="1" thickBot="1">
      <c r="A5" s="186"/>
      <c r="B5" s="349"/>
      <c r="C5" s="396"/>
      <c r="D5" s="350"/>
      <c r="E5" s="187" t="str">
        <f>TEXT(E4,"aaa")</f>
        <v>金</v>
      </c>
      <c r="F5" s="145" t="str">
        <f>TEXT(F4,"aaa")</f>
        <v>土</v>
      </c>
      <c r="G5" s="147" t="str">
        <f t="shared" ref="G5:AI5" si="1">TEXT(G4,"aaa")</f>
        <v>日</v>
      </c>
      <c r="H5" s="148" t="str">
        <f t="shared" si="1"/>
        <v>月</v>
      </c>
      <c r="I5" s="148" t="str">
        <f t="shared" si="1"/>
        <v>火</v>
      </c>
      <c r="J5" s="148" t="str">
        <f t="shared" si="1"/>
        <v>水</v>
      </c>
      <c r="K5" s="145" t="str">
        <f t="shared" si="1"/>
        <v>木</v>
      </c>
      <c r="L5" s="145" t="str">
        <f t="shared" si="1"/>
        <v>金</v>
      </c>
      <c r="M5" s="145" t="str">
        <f t="shared" si="1"/>
        <v>土</v>
      </c>
      <c r="N5" s="145" t="str">
        <f t="shared" si="1"/>
        <v>日</v>
      </c>
      <c r="O5" s="147" t="str">
        <f t="shared" si="1"/>
        <v>月</v>
      </c>
      <c r="P5" s="145" t="str">
        <f t="shared" si="1"/>
        <v>火</v>
      </c>
      <c r="Q5" s="145" t="str">
        <f t="shared" si="1"/>
        <v>水</v>
      </c>
      <c r="R5" s="145" t="str">
        <f t="shared" si="1"/>
        <v>木</v>
      </c>
      <c r="S5" s="147" t="str">
        <f t="shared" si="1"/>
        <v>金</v>
      </c>
      <c r="T5" s="145" t="str">
        <f t="shared" si="1"/>
        <v>土</v>
      </c>
      <c r="U5" s="145" t="str">
        <f t="shared" si="1"/>
        <v>日</v>
      </c>
      <c r="V5" s="145" t="str">
        <f t="shared" si="1"/>
        <v>月</v>
      </c>
      <c r="W5" s="145" t="str">
        <f t="shared" si="1"/>
        <v>火</v>
      </c>
      <c r="X5" s="145" t="str">
        <f t="shared" si="1"/>
        <v>水</v>
      </c>
      <c r="Y5" s="145" t="str">
        <f t="shared" si="1"/>
        <v>木</v>
      </c>
      <c r="Z5" s="145" t="str">
        <f t="shared" si="1"/>
        <v>金</v>
      </c>
      <c r="AA5" s="148" t="str">
        <f t="shared" si="1"/>
        <v>土</v>
      </c>
      <c r="AB5" s="147" t="str">
        <f t="shared" si="1"/>
        <v>日</v>
      </c>
      <c r="AC5" s="145" t="str">
        <f t="shared" si="1"/>
        <v>月</v>
      </c>
      <c r="AD5" s="145" t="str">
        <f t="shared" si="1"/>
        <v>火</v>
      </c>
      <c r="AE5" s="145" t="str">
        <f t="shared" si="1"/>
        <v>水</v>
      </c>
      <c r="AF5" s="145" t="str">
        <f t="shared" si="1"/>
        <v>木</v>
      </c>
      <c r="AG5" s="145" t="str">
        <f t="shared" si="1"/>
        <v>金</v>
      </c>
      <c r="AH5" s="145" t="str">
        <f t="shared" si="1"/>
        <v>土</v>
      </c>
      <c r="AI5" s="146" t="str">
        <f t="shared" si="1"/>
        <v>日</v>
      </c>
      <c r="AJ5" s="188"/>
      <c r="AK5" s="189" t="s">
        <v>14</v>
      </c>
      <c r="AL5" s="190" t="s">
        <v>27</v>
      </c>
      <c r="AM5" s="190" t="s">
        <v>26</v>
      </c>
      <c r="AN5" s="190" t="s">
        <v>57</v>
      </c>
      <c r="AO5" s="191" t="s">
        <v>1</v>
      </c>
      <c r="AP5" s="192" t="s">
        <v>0</v>
      </c>
      <c r="AQ5" s="192" t="s">
        <v>4</v>
      </c>
      <c r="AR5" s="193" t="s">
        <v>82</v>
      </c>
      <c r="AS5" s="194" t="s">
        <v>78</v>
      </c>
      <c r="AT5" s="195" t="s">
        <v>79</v>
      </c>
      <c r="AU5" s="196" t="s">
        <v>15</v>
      </c>
      <c r="AV5" s="197" t="s">
        <v>2</v>
      </c>
      <c r="AW5" s="198" t="s">
        <v>44</v>
      </c>
      <c r="AX5" s="198" t="s">
        <v>43</v>
      </c>
      <c r="AY5" s="199" t="s">
        <v>45</v>
      </c>
    </row>
    <row r="6" spans="1:51" ht="35.25" customHeight="1">
      <c r="A6" s="200"/>
      <c r="B6" s="151" t="s">
        <v>29</v>
      </c>
      <c r="C6" s="201" t="s">
        <v>63</v>
      </c>
      <c r="D6" s="152" t="s">
        <v>5</v>
      </c>
      <c r="E6" s="202"/>
      <c r="F6" s="153"/>
      <c r="G6" s="153"/>
      <c r="H6" s="153"/>
      <c r="I6" s="153"/>
      <c r="J6" s="153"/>
      <c r="K6" s="153"/>
      <c r="L6" s="153"/>
      <c r="M6" s="20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4"/>
      <c r="AJ6" s="204"/>
      <c r="AK6" s="205">
        <f>COUNTIF($E6:$AI6,"A")</f>
        <v>0</v>
      </c>
      <c r="AL6" s="205">
        <f>COUNTIF($E6:$AI6,"B")</f>
        <v>0</v>
      </c>
      <c r="AM6" s="205">
        <f>COUNTIF($E6:$AI6,"D")</f>
        <v>0</v>
      </c>
      <c r="AN6" s="205">
        <f>+COUNTIF($E6:$AI6,"E")</f>
        <v>0</v>
      </c>
      <c r="AO6" s="205">
        <f>COUNTIF($E6:$AI6,"C")</f>
        <v>0</v>
      </c>
      <c r="AP6" s="205">
        <f>COUNTIF($E6:$AI6,"夜")</f>
        <v>0</v>
      </c>
      <c r="AQ6" s="205">
        <f>COUNTIF($E6:$AI6,"明")</f>
        <v>0</v>
      </c>
      <c r="AR6" s="205">
        <f>COUNTIF($E6:$AI6,"研")+COUNTIF($E6:$AI6,"健")</f>
        <v>0</v>
      </c>
      <c r="AS6" s="205">
        <f>COUNTIF($E6:$AI6,"調1")</f>
        <v>0</v>
      </c>
      <c r="AT6" s="205">
        <f>COUNTIF($E6:$AI6,"調2")</f>
        <v>0</v>
      </c>
      <c r="AU6" s="205">
        <f>COUNTIF($E6:$AI6,"有")</f>
        <v>0</v>
      </c>
      <c r="AV6" s="205">
        <f>COUNTIF($E6:$AI6,"休")+COUNTIF($E6:$AI6,"希")</f>
        <v>0</v>
      </c>
      <c r="AW6" s="206">
        <f>SUM(AK6:AU6)</f>
        <v>0</v>
      </c>
      <c r="AX6" s="206"/>
      <c r="AY6" s="207" t="str">
        <f>IF($AY$3=2,IF(AV6+AV7=8,"OK","NG"),IF(AV6+AV7=9,"OK","NG"))</f>
        <v>NG</v>
      </c>
    </row>
    <row r="7" spans="1:51" ht="35.25" customHeight="1">
      <c r="A7" s="200"/>
      <c r="B7" s="155" t="s">
        <v>34</v>
      </c>
      <c r="C7" s="208" t="s">
        <v>63</v>
      </c>
      <c r="D7" s="209" t="s">
        <v>66</v>
      </c>
      <c r="E7" s="210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61"/>
      <c r="AA7" s="161"/>
      <c r="AB7" s="161"/>
      <c r="AC7" s="153"/>
      <c r="AD7" s="153"/>
      <c r="AE7" s="153"/>
      <c r="AF7" s="153"/>
      <c r="AG7" s="153"/>
      <c r="AH7" s="153"/>
      <c r="AI7" s="211"/>
      <c r="AJ7" s="204"/>
      <c r="AK7" s="205">
        <f t="shared" ref="AK7:AK30" si="2">COUNTIF($E7:$AI7,"A")</f>
        <v>0</v>
      </c>
      <c r="AL7" s="205">
        <f t="shared" ref="AL7:AL30" si="3">COUNTIF($E7:$AI7,"B")</f>
        <v>0</v>
      </c>
      <c r="AM7" s="205">
        <f t="shared" ref="AM7:AM30" si="4">COUNTIF($E7:$AI7,"D")</f>
        <v>0</v>
      </c>
      <c r="AN7" s="205">
        <f t="shared" ref="AN7:AN30" si="5">+COUNTIF($E7:$AI7,"E")</f>
        <v>0</v>
      </c>
      <c r="AO7" s="205">
        <f t="shared" ref="AO7:AO30" si="6">COUNTIF($E7:$AI7,"C")</f>
        <v>0</v>
      </c>
      <c r="AP7" s="205">
        <f t="shared" ref="AP7:AP30" si="7">COUNTIF($E7:$AI7,"夜")</f>
        <v>0</v>
      </c>
      <c r="AQ7" s="205">
        <f t="shared" ref="AQ7:AQ30" si="8">COUNTIF($E7:$AI7,"明")</f>
        <v>0</v>
      </c>
      <c r="AR7" s="205">
        <f t="shared" ref="AR7:AR30" si="9">COUNTIF($E7:$AI7,"研")+COUNTIF($E7:$AI7,"健")</f>
        <v>0</v>
      </c>
      <c r="AS7" s="205">
        <f t="shared" ref="AS7:AS30" si="10">COUNTIF($E7:$AI7,"調1")</f>
        <v>0</v>
      </c>
      <c r="AT7" s="205">
        <f t="shared" ref="AT7:AT30" si="11">COUNTIF($E7:$AI7,"調2")</f>
        <v>0</v>
      </c>
      <c r="AU7" s="205">
        <f t="shared" ref="AU7:AU30" si="12">COUNTIF($E7:$AI7,"有")</f>
        <v>0</v>
      </c>
      <c r="AV7" s="205">
        <f t="shared" ref="AV7:AV30" si="13">COUNTIF($E7:$AI7,"休")+COUNTIF($E7:$AI7,"希")</f>
        <v>0</v>
      </c>
      <c r="AW7" s="206">
        <f t="shared" ref="AW7:AW30" si="14">SUM(AK7:AU7)</f>
        <v>0</v>
      </c>
      <c r="AX7" s="206"/>
      <c r="AY7" s="207"/>
    </row>
    <row r="8" spans="1:51" ht="35.25" customHeight="1">
      <c r="A8" s="200"/>
      <c r="B8" s="155" t="s">
        <v>34</v>
      </c>
      <c r="C8" s="212" t="s">
        <v>62</v>
      </c>
      <c r="D8" s="156" t="s">
        <v>8</v>
      </c>
      <c r="E8" s="159"/>
      <c r="F8" s="159"/>
      <c r="G8" s="159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213"/>
      <c r="AI8" s="160"/>
      <c r="AJ8" s="204"/>
      <c r="AK8" s="205">
        <f t="shared" si="2"/>
        <v>0</v>
      </c>
      <c r="AL8" s="205">
        <f t="shared" si="3"/>
        <v>0</v>
      </c>
      <c r="AM8" s="205">
        <f t="shared" si="4"/>
        <v>0</v>
      </c>
      <c r="AN8" s="205">
        <f t="shared" si="5"/>
        <v>0</v>
      </c>
      <c r="AO8" s="205">
        <f t="shared" si="6"/>
        <v>0</v>
      </c>
      <c r="AP8" s="205">
        <f t="shared" si="7"/>
        <v>0</v>
      </c>
      <c r="AQ8" s="205">
        <f t="shared" si="8"/>
        <v>0</v>
      </c>
      <c r="AR8" s="205">
        <f t="shared" si="9"/>
        <v>0</v>
      </c>
      <c r="AS8" s="205">
        <f t="shared" si="10"/>
        <v>0</v>
      </c>
      <c r="AT8" s="205">
        <f t="shared" si="11"/>
        <v>0</v>
      </c>
      <c r="AU8" s="205">
        <f t="shared" si="12"/>
        <v>0</v>
      </c>
      <c r="AV8" s="205">
        <f t="shared" si="13"/>
        <v>0</v>
      </c>
      <c r="AW8" s="206">
        <f t="shared" si="14"/>
        <v>0</v>
      </c>
      <c r="AX8" s="206"/>
      <c r="AY8" s="207" t="str">
        <f t="shared" ref="AY8:AY30" si="15">IF($AY$3=2,IF(AV8=8,"OK","NG"),IF(AV8=9,"OK","NG"))</f>
        <v>NG</v>
      </c>
    </row>
    <row r="9" spans="1:51" ht="35.25" customHeight="1">
      <c r="A9" s="200"/>
      <c r="B9" s="155" t="s">
        <v>34</v>
      </c>
      <c r="C9" s="212" t="s">
        <v>62</v>
      </c>
      <c r="D9" s="156" t="s">
        <v>6</v>
      </c>
      <c r="E9" s="210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3"/>
      <c r="AJ9" s="204"/>
      <c r="AK9" s="205">
        <f t="shared" si="2"/>
        <v>0</v>
      </c>
      <c r="AL9" s="205">
        <f t="shared" si="3"/>
        <v>0</v>
      </c>
      <c r="AM9" s="205">
        <f t="shared" si="4"/>
        <v>0</v>
      </c>
      <c r="AN9" s="205">
        <f t="shared" si="5"/>
        <v>0</v>
      </c>
      <c r="AO9" s="205">
        <f t="shared" si="6"/>
        <v>0</v>
      </c>
      <c r="AP9" s="205">
        <f t="shared" si="7"/>
        <v>0</v>
      </c>
      <c r="AQ9" s="205">
        <f t="shared" si="8"/>
        <v>0</v>
      </c>
      <c r="AR9" s="205">
        <f t="shared" si="9"/>
        <v>0</v>
      </c>
      <c r="AS9" s="205">
        <f t="shared" si="10"/>
        <v>0</v>
      </c>
      <c r="AT9" s="205">
        <f t="shared" si="11"/>
        <v>0</v>
      </c>
      <c r="AU9" s="205">
        <f t="shared" si="12"/>
        <v>0</v>
      </c>
      <c r="AV9" s="205">
        <f t="shared" si="13"/>
        <v>0</v>
      </c>
      <c r="AW9" s="206">
        <f t="shared" si="14"/>
        <v>0</v>
      </c>
      <c r="AX9" s="206"/>
      <c r="AY9" s="207" t="str">
        <f t="shared" si="15"/>
        <v>NG</v>
      </c>
    </row>
    <row r="10" spans="1:51" ht="36" customHeight="1">
      <c r="A10" s="200"/>
      <c r="B10" s="155" t="s">
        <v>34</v>
      </c>
      <c r="C10" s="212" t="s">
        <v>63</v>
      </c>
      <c r="D10" s="156" t="s">
        <v>28</v>
      </c>
      <c r="E10" s="214"/>
      <c r="F10" s="153"/>
      <c r="G10" s="153"/>
      <c r="H10" s="159"/>
      <c r="I10" s="159"/>
      <c r="J10" s="153"/>
      <c r="K10" s="164"/>
      <c r="L10" s="164"/>
      <c r="M10" s="153"/>
      <c r="N10" s="153"/>
      <c r="O10" s="159"/>
      <c r="P10" s="159"/>
      <c r="Q10" s="153"/>
      <c r="R10" s="153"/>
      <c r="S10" s="159"/>
      <c r="T10" s="153"/>
      <c r="U10" s="153"/>
      <c r="V10" s="153"/>
      <c r="W10" s="159"/>
      <c r="X10" s="159"/>
      <c r="Y10" s="213"/>
      <c r="Z10" s="213"/>
      <c r="AA10" s="153"/>
      <c r="AB10" s="153"/>
      <c r="AC10" s="159"/>
      <c r="AD10" s="159"/>
      <c r="AE10" s="153"/>
      <c r="AF10" s="213"/>
      <c r="AG10" s="213"/>
      <c r="AH10" s="153"/>
      <c r="AI10" s="157"/>
      <c r="AJ10" s="204"/>
      <c r="AK10" s="205">
        <f t="shared" si="2"/>
        <v>0</v>
      </c>
      <c r="AL10" s="205">
        <f t="shared" si="3"/>
        <v>0</v>
      </c>
      <c r="AM10" s="205">
        <f t="shared" si="4"/>
        <v>0</v>
      </c>
      <c r="AN10" s="205">
        <f t="shared" si="5"/>
        <v>0</v>
      </c>
      <c r="AO10" s="205">
        <f t="shared" si="6"/>
        <v>0</v>
      </c>
      <c r="AP10" s="205">
        <f t="shared" si="7"/>
        <v>0</v>
      </c>
      <c r="AQ10" s="205">
        <f t="shared" si="8"/>
        <v>0</v>
      </c>
      <c r="AR10" s="205">
        <f t="shared" si="9"/>
        <v>0</v>
      </c>
      <c r="AS10" s="205">
        <f t="shared" si="10"/>
        <v>0</v>
      </c>
      <c r="AT10" s="205">
        <f t="shared" si="11"/>
        <v>0</v>
      </c>
      <c r="AU10" s="205">
        <f t="shared" si="12"/>
        <v>0</v>
      </c>
      <c r="AV10" s="205">
        <f t="shared" si="13"/>
        <v>0</v>
      </c>
      <c r="AW10" s="206">
        <f t="shared" si="14"/>
        <v>0</v>
      </c>
      <c r="AX10" s="206"/>
      <c r="AY10" s="207" t="str">
        <f>IF($AY$3=2,IF(AV10=8,"OK","NG"),IF(AV10=9,"OK","NG"))</f>
        <v>NG</v>
      </c>
    </row>
    <row r="11" spans="1:51" ht="36" customHeight="1">
      <c r="A11" s="200"/>
      <c r="B11" s="155" t="s">
        <v>34</v>
      </c>
      <c r="C11" s="212" t="s">
        <v>64</v>
      </c>
      <c r="D11" s="156" t="s">
        <v>61</v>
      </c>
      <c r="E11" s="210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8"/>
      <c r="AJ11" s="204"/>
      <c r="AK11" s="205">
        <f t="shared" si="2"/>
        <v>0</v>
      </c>
      <c r="AL11" s="205">
        <f t="shared" si="3"/>
        <v>0</v>
      </c>
      <c r="AM11" s="205">
        <f t="shared" si="4"/>
        <v>0</v>
      </c>
      <c r="AN11" s="205">
        <f t="shared" si="5"/>
        <v>0</v>
      </c>
      <c r="AO11" s="205">
        <f t="shared" si="6"/>
        <v>0</v>
      </c>
      <c r="AP11" s="205">
        <f t="shared" si="7"/>
        <v>0</v>
      </c>
      <c r="AQ11" s="205">
        <f t="shared" si="8"/>
        <v>0</v>
      </c>
      <c r="AR11" s="205">
        <f t="shared" si="9"/>
        <v>0</v>
      </c>
      <c r="AS11" s="205">
        <f t="shared" si="10"/>
        <v>0</v>
      </c>
      <c r="AT11" s="205">
        <f t="shared" si="11"/>
        <v>0</v>
      </c>
      <c r="AU11" s="205">
        <f t="shared" si="12"/>
        <v>0</v>
      </c>
      <c r="AV11" s="205">
        <f t="shared" si="13"/>
        <v>0</v>
      </c>
      <c r="AW11" s="206">
        <f t="shared" si="14"/>
        <v>0</v>
      </c>
      <c r="AX11" s="206"/>
      <c r="AY11" s="207" t="str">
        <f t="shared" si="15"/>
        <v>NG</v>
      </c>
    </row>
    <row r="12" spans="1:51" ht="36" customHeight="1">
      <c r="A12" s="200"/>
      <c r="B12" s="155" t="s">
        <v>34</v>
      </c>
      <c r="C12" s="212" t="s">
        <v>64</v>
      </c>
      <c r="D12" s="163" t="s">
        <v>56</v>
      </c>
      <c r="E12" s="214"/>
      <c r="F12" s="159"/>
      <c r="G12" s="159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213"/>
      <c r="AI12" s="213"/>
      <c r="AJ12" s="204"/>
      <c r="AK12" s="205">
        <f t="shared" si="2"/>
        <v>0</v>
      </c>
      <c r="AL12" s="205">
        <f t="shared" si="3"/>
        <v>0</v>
      </c>
      <c r="AM12" s="205">
        <f t="shared" si="4"/>
        <v>0</v>
      </c>
      <c r="AN12" s="205">
        <f t="shared" si="5"/>
        <v>0</v>
      </c>
      <c r="AO12" s="205">
        <f t="shared" si="6"/>
        <v>0</v>
      </c>
      <c r="AP12" s="205">
        <f t="shared" si="7"/>
        <v>0</v>
      </c>
      <c r="AQ12" s="205">
        <f t="shared" si="8"/>
        <v>0</v>
      </c>
      <c r="AR12" s="205">
        <f t="shared" si="9"/>
        <v>0</v>
      </c>
      <c r="AS12" s="205">
        <f t="shared" si="10"/>
        <v>0</v>
      </c>
      <c r="AT12" s="205">
        <f t="shared" si="11"/>
        <v>0</v>
      </c>
      <c r="AU12" s="205">
        <f t="shared" si="12"/>
        <v>0</v>
      </c>
      <c r="AV12" s="205">
        <f t="shared" si="13"/>
        <v>0</v>
      </c>
      <c r="AW12" s="206">
        <f t="shared" si="14"/>
        <v>0</v>
      </c>
      <c r="AX12" s="206"/>
      <c r="AY12" s="207" t="str">
        <f t="shared" si="15"/>
        <v>NG</v>
      </c>
    </row>
    <row r="13" spans="1:51" ht="36" customHeight="1">
      <c r="A13" s="200"/>
      <c r="B13" s="155" t="s">
        <v>34</v>
      </c>
      <c r="C13" s="212" t="s">
        <v>64</v>
      </c>
      <c r="D13" s="163" t="s">
        <v>99</v>
      </c>
      <c r="E13" s="215"/>
      <c r="F13" s="159"/>
      <c r="G13" s="159"/>
      <c r="H13" s="153"/>
      <c r="I13" s="153"/>
      <c r="J13" s="153"/>
      <c r="K13" s="153"/>
      <c r="L13" s="153"/>
      <c r="M13" s="159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213"/>
      <c r="Z13" s="153"/>
      <c r="AA13" s="153"/>
      <c r="AB13" s="153"/>
      <c r="AC13" s="153"/>
      <c r="AD13" s="153"/>
      <c r="AE13" s="153"/>
      <c r="AF13" s="153"/>
      <c r="AG13" s="153"/>
      <c r="AH13" s="153"/>
      <c r="AI13" s="216"/>
      <c r="AJ13" s="204"/>
      <c r="AK13" s="205">
        <f t="shared" si="2"/>
        <v>0</v>
      </c>
      <c r="AL13" s="205">
        <f t="shared" si="3"/>
        <v>0</v>
      </c>
      <c r="AM13" s="205">
        <f t="shared" si="4"/>
        <v>0</v>
      </c>
      <c r="AN13" s="205">
        <f t="shared" si="5"/>
        <v>0</v>
      </c>
      <c r="AO13" s="205">
        <f t="shared" si="6"/>
        <v>0</v>
      </c>
      <c r="AP13" s="205">
        <f t="shared" si="7"/>
        <v>0</v>
      </c>
      <c r="AQ13" s="205">
        <f t="shared" si="8"/>
        <v>0</v>
      </c>
      <c r="AR13" s="205">
        <f t="shared" si="9"/>
        <v>0</v>
      </c>
      <c r="AS13" s="205">
        <f t="shared" si="10"/>
        <v>0</v>
      </c>
      <c r="AT13" s="205">
        <f t="shared" si="11"/>
        <v>0</v>
      </c>
      <c r="AU13" s="205">
        <f t="shared" si="12"/>
        <v>0</v>
      </c>
      <c r="AV13" s="205">
        <f t="shared" si="13"/>
        <v>0</v>
      </c>
      <c r="AW13" s="206">
        <f t="shared" si="14"/>
        <v>0</v>
      </c>
      <c r="AX13" s="206"/>
      <c r="AY13" s="207" t="str">
        <f t="shared" si="15"/>
        <v>NG</v>
      </c>
    </row>
    <row r="14" spans="1:51" ht="35.25" customHeight="1">
      <c r="A14" s="200"/>
      <c r="B14" s="155" t="s">
        <v>34</v>
      </c>
      <c r="C14" s="212" t="s">
        <v>65</v>
      </c>
      <c r="D14" s="156" t="s">
        <v>9</v>
      </c>
      <c r="E14" s="153"/>
      <c r="F14" s="153"/>
      <c r="G14" s="153"/>
      <c r="H14" s="153"/>
      <c r="I14" s="153"/>
      <c r="J14" s="153"/>
      <c r="K14" s="153"/>
      <c r="L14" s="153"/>
      <c r="M14" s="153"/>
      <c r="N14" s="213"/>
      <c r="O14" s="153"/>
      <c r="P14" s="153"/>
      <c r="Q14" s="153"/>
      <c r="R14" s="161"/>
      <c r="S14" s="153"/>
      <c r="T14" s="153"/>
      <c r="U14" s="213"/>
      <c r="V14" s="153"/>
      <c r="W14" s="213"/>
      <c r="X14" s="153"/>
      <c r="Y14" s="153"/>
      <c r="Z14" s="153"/>
      <c r="AA14" s="153"/>
      <c r="AB14" s="153"/>
      <c r="AC14" s="153"/>
      <c r="AD14" s="153"/>
      <c r="AE14" s="153"/>
      <c r="AF14" s="213"/>
      <c r="AG14" s="153"/>
      <c r="AH14" s="153"/>
      <c r="AI14" s="157"/>
      <c r="AJ14" s="204"/>
      <c r="AK14" s="205">
        <f t="shared" si="2"/>
        <v>0</v>
      </c>
      <c r="AL14" s="205">
        <f t="shared" si="3"/>
        <v>0</v>
      </c>
      <c r="AM14" s="205">
        <f t="shared" si="4"/>
        <v>0</v>
      </c>
      <c r="AN14" s="205">
        <f t="shared" si="5"/>
        <v>0</v>
      </c>
      <c r="AO14" s="205">
        <f t="shared" si="6"/>
        <v>0</v>
      </c>
      <c r="AP14" s="205">
        <f t="shared" si="7"/>
        <v>0</v>
      </c>
      <c r="AQ14" s="205">
        <f t="shared" si="8"/>
        <v>0</v>
      </c>
      <c r="AR14" s="205">
        <f t="shared" si="9"/>
        <v>0</v>
      </c>
      <c r="AS14" s="205">
        <f t="shared" si="10"/>
        <v>0</v>
      </c>
      <c r="AT14" s="205">
        <f t="shared" si="11"/>
        <v>0</v>
      </c>
      <c r="AU14" s="205">
        <f t="shared" si="12"/>
        <v>0</v>
      </c>
      <c r="AV14" s="205">
        <f t="shared" si="13"/>
        <v>0</v>
      </c>
      <c r="AW14" s="206">
        <f t="shared" si="14"/>
        <v>0</v>
      </c>
      <c r="AX14" s="206"/>
      <c r="AY14" s="207" t="str">
        <f>IF($AY$3=2,IF(AV14=8,"OK","NG"),IF(AV14=9,"OK","NG"))</f>
        <v>NG</v>
      </c>
    </row>
    <row r="15" spans="1:51" ht="35.25" customHeight="1">
      <c r="A15" s="200"/>
      <c r="B15" s="155" t="s">
        <v>34</v>
      </c>
      <c r="C15" s="212" t="s">
        <v>64</v>
      </c>
      <c r="D15" s="163" t="s">
        <v>10</v>
      </c>
      <c r="E15" s="210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61"/>
      <c r="R15" s="153"/>
      <c r="S15" s="153"/>
      <c r="T15" s="153"/>
      <c r="U15" s="153"/>
      <c r="V15" s="153"/>
      <c r="W15" s="153"/>
      <c r="X15" s="161"/>
      <c r="Y15" s="213"/>
      <c r="Z15" s="213"/>
      <c r="AA15" s="153"/>
      <c r="AB15" s="153"/>
      <c r="AC15" s="153"/>
      <c r="AD15" s="153"/>
      <c r="AE15" s="161"/>
      <c r="AF15" s="153"/>
      <c r="AG15" s="153"/>
      <c r="AH15" s="153"/>
      <c r="AI15" s="160"/>
      <c r="AJ15" s="204"/>
      <c r="AK15" s="205">
        <f t="shared" si="2"/>
        <v>0</v>
      </c>
      <c r="AL15" s="205">
        <f t="shared" si="3"/>
        <v>0</v>
      </c>
      <c r="AM15" s="205">
        <f t="shared" si="4"/>
        <v>0</v>
      </c>
      <c r="AN15" s="205">
        <f t="shared" si="5"/>
        <v>0</v>
      </c>
      <c r="AO15" s="205">
        <f t="shared" si="6"/>
        <v>0</v>
      </c>
      <c r="AP15" s="205">
        <f t="shared" si="7"/>
        <v>0</v>
      </c>
      <c r="AQ15" s="205">
        <f t="shared" si="8"/>
        <v>0</v>
      </c>
      <c r="AR15" s="205">
        <f t="shared" si="9"/>
        <v>0</v>
      </c>
      <c r="AS15" s="205">
        <f t="shared" si="10"/>
        <v>0</v>
      </c>
      <c r="AT15" s="205">
        <f t="shared" si="11"/>
        <v>0</v>
      </c>
      <c r="AU15" s="205">
        <f t="shared" si="12"/>
        <v>0</v>
      </c>
      <c r="AV15" s="205">
        <f t="shared" si="13"/>
        <v>0</v>
      </c>
      <c r="AW15" s="206">
        <f t="shared" si="14"/>
        <v>0</v>
      </c>
      <c r="AX15" s="206"/>
      <c r="AY15" s="207" t="str">
        <f t="shared" si="15"/>
        <v>NG</v>
      </c>
    </row>
    <row r="16" spans="1:51" ht="35.25" customHeight="1">
      <c r="A16" s="200"/>
      <c r="B16" s="155" t="s">
        <v>34</v>
      </c>
      <c r="C16" s="212" t="s">
        <v>64</v>
      </c>
      <c r="D16" s="163" t="s">
        <v>20</v>
      </c>
      <c r="E16" s="217"/>
      <c r="F16" s="153"/>
      <c r="G16" s="153"/>
      <c r="H16" s="153"/>
      <c r="I16" s="153"/>
      <c r="J16" s="153"/>
      <c r="K16" s="153"/>
      <c r="L16" s="153"/>
      <c r="M16" s="153"/>
      <c r="N16" s="153"/>
      <c r="O16" s="161"/>
      <c r="P16" s="153"/>
      <c r="Q16" s="153"/>
      <c r="R16" s="161"/>
      <c r="S16" s="153"/>
      <c r="T16" s="153"/>
      <c r="U16" s="153"/>
      <c r="V16" s="161"/>
      <c r="W16" s="153"/>
      <c r="X16" s="153"/>
      <c r="Y16" s="161"/>
      <c r="Z16" s="153"/>
      <c r="AA16" s="153"/>
      <c r="AB16" s="153"/>
      <c r="AC16" s="218"/>
      <c r="AD16" s="153"/>
      <c r="AE16" s="153"/>
      <c r="AF16" s="153"/>
      <c r="AG16" s="153"/>
      <c r="AH16" s="161"/>
      <c r="AI16" s="219"/>
      <c r="AJ16" s="204"/>
      <c r="AK16" s="205">
        <f t="shared" si="2"/>
        <v>0</v>
      </c>
      <c r="AL16" s="205">
        <f t="shared" si="3"/>
        <v>0</v>
      </c>
      <c r="AM16" s="205">
        <f t="shared" si="4"/>
        <v>0</v>
      </c>
      <c r="AN16" s="205">
        <f t="shared" si="5"/>
        <v>0</v>
      </c>
      <c r="AO16" s="205">
        <f t="shared" si="6"/>
        <v>0</v>
      </c>
      <c r="AP16" s="205">
        <f t="shared" si="7"/>
        <v>0</v>
      </c>
      <c r="AQ16" s="205">
        <f t="shared" si="8"/>
        <v>0</v>
      </c>
      <c r="AR16" s="205">
        <f t="shared" si="9"/>
        <v>0</v>
      </c>
      <c r="AS16" s="205">
        <f t="shared" si="10"/>
        <v>0</v>
      </c>
      <c r="AT16" s="205">
        <f t="shared" si="11"/>
        <v>0</v>
      </c>
      <c r="AU16" s="205">
        <f t="shared" si="12"/>
        <v>0</v>
      </c>
      <c r="AV16" s="205">
        <f t="shared" si="13"/>
        <v>0</v>
      </c>
      <c r="AW16" s="206">
        <f t="shared" si="14"/>
        <v>0</v>
      </c>
      <c r="AX16" s="206"/>
      <c r="AY16" s="207" t="str">
        <f t="shared" si="15"/>
        <v>NG</v>
      </c>
    </row>
    <row r="17" spans="1:59" ht="35.25" customHeight="1">
      <c r="A17" s="200"/>
      <c r="B17" s="155" t="s">
        <v>34</v>
      </c>
      <c r="C17" s="212" t="s">
        <v>63</v>
      </c>
      <c r="D17" s="156" t="s">
        <v>7</v>
      </c>
      <c r="E17" s="210"/>
      <c r="F17" s="161"/>
      <c r="G17" s="159"/>
      <c r="H17" s="159"/>
      <c r="I17" s="153"/>
      <c r="J17" s="164"/>
      <c r="K17" s="164"/>
      <c r="L17" s="213"/>
      <c r="M17" s="153"/>
      <c r="N17" s="161"/>
      <c r="O17" s="161"/>
      <c r="P17" s="161"/>
      <c r="Q17" s="164"/>
      <c r="R17" s="164"/>
      <c r="S17" s="153"/>
      <c r="T17" s="153"/>
      <c r="U17" s="161"/>
      <c r="V17" s="161"/>
      <c r="W17" s="161"/>
      <c r="X17" s="164"/>
      <c r="Y17" s="164"/>
      <c r="Z17" s="213"/>
      <c r="AA17" s="153"/>
      <c r="AB17" s="161"/>
      <c r="AC17" s="161"/>
      <c r="AD17" s="161"/>
      <c r="AE17" s="164"/>
      <c r="AF17" s="164"/>
      <c r="AG17" s="164"/>
      <c r="AH17" s="153"/>
      <c r="AI17" s="157"/>
      <c r="AJ17" s="204"/>
      <c r="AK17" s="205">
        <f t="shared" si="2"/>
        <v>0</v>
      </c>
      <c r="AL17" s="205">
        <f t="shared" si="3"/>
        <v>0</v>
      </c>
      <c r="AM17" s="205">
        <f t="shared" si="4"/>
        <v>0</v>
      </c>
      <c r="AN17" s="205">
        <f t="shared" si="5"/>
        <v>0</v>
      </c>
      <c r="AO17" s="205">
        <f t="shared" si="6"/>
        <v>0</v>
      </c>
      <c r="AP17" s="205">
        <f t="shared" si="7"/>
        <v>0</v>
      </c>
      <c r="AQ17" s="205">
        <f t="shared" si="8"/>
        <v>0</v>
      </c>
      <c r="AR17" s="205">
        <f t="shared" si="9"/>
        <v>0</v>
      </c>
      <c r="AS17" s="205">
        <f t="shared" si="10"/>
        <v>0</v>
      </c>
      <c r="AT17" s="205">
        <f t="shared" si="11"/>
        <v>0</v>
      </c>
      <c r="AU17" s="205">
        <f t="shared" si="12"/>
        <v>0</v>
      </c>
      <c r="AV17" s="205">
        <f t="shared" si="13"/>
        <v>0</v>
      </c>
      <c r="AW17" s="206">
        <f t="shared" si="14"/>
        <v>0</v>
      </c>
      <c r="AX17" s="206"/>
      <c r="AY17" s="207" t="str">
        <f t="shared" si="15"/>
        <v>NG</v>
      </c>
    </row>
    <row r="18" spans="1:59" ht="35.25" customHeight="1">
      <c r="A18" s="200"/>
      <c r="B18" s="155" t="s">
        <v>30</v>
      </c>
      <c r="C18" s="212" t="s">
        <v>63</v>
      </c>
      <c r="D18" s="156" t="s">
        <v>7</v>
      </c>
      <c r="E18" s="210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7"/>
      <c r="AJ18" s="204"/>
      <c r="AK18" s="205">
        <f t="shared" si="2"/>
        <v>0</v>
      </c>
      <c r="AL18" s="205">
        <f t="shared" si="3"/>
        <v>0</v>
      </c>
      <c r="AM18" s="205">
        <f t="shared" si="4"/>
        <v>0</v>
      </c>
      <c r="AN18" s="205">
        <f t="shared" si="5"/>
        <v>0</v>
      </c>
      <c r="AO18" s="205">
        <f t="shared" si="6"/>
        <v>0</v>
      </c>
      <c r="AP18" s="205">
        <f t="shared" si="7"/>
        <v>0</v>
      </c>
      <c r="AQ18" s="205">
        <f t="shared" si="8"/>
        <v>0</v>
      </c>
      <c r="AR18" s="205">
        <f t="shared" si="9"/>
        <v>0</v>
      </c>
      <c r="AS18" s="205">
        <f t="shared" si="10"/>
        <v>0</v>
      </c>
      <c r="AT18" s="205">
        <f t="shared" si="11"/>
        <v>0</v>
      </c>
      <c r="AU18" s="205">
        <f t="shared" si="12"/>
        <v>0</v>
      </c>
      <c r="AV18" s="205">
        <f t="shared" si="13"/>
        <v>0</v>
      </c>
      <c r="AW18" s="206">
        <f t="shared" si="14"/>
        <v>0</v>
      </c>
      <c r="AX18" s="206"/>
      <c r="AY18" s="207" t="str">
        <f t="shared" si="15"/>
        <v>NG</v>
      </c>
    </row>
    <row r="19" spans="1:59" ht="35.25" customHeight="1">
      <c r="A19" s="200"/>
      <c r="B19" s="155" t="s">
        <v>33</v>
      </c>
      <c r="C19" s="212" t="s">
        <v>62</v>
      </c>
      <c r="D19" s="163" t="s">
        <v>19</v>
      </c>
      <c r="E19" s="220"/>
      <c r="F19" s="161"/>
      <c r="G19" s="153"/>
      <c r="H19" s="153"/>
      <c r="I19" s="153"/>
      <c r="J19" s="213"/>
      <c r="K19" s="153"/>
      <c r="L19" s="153"/>
      <c r="M19" s="153"/>
      <c r="N19" s="153"/>
      <c r="O19" s="153"/>
      <c r="P19" s="153"/>
      <c r="Q19" s="213"/>
      <c r="R19" s="153"/>
      <c r="S19" s="153"/>
      <c r="T19" s="153"/>
      <c r="U19" s="153"/>
      <c r="V19" s="153"/>
      <c r="W19" s="153"/>
      <c r="X19" s="21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7"/>
      <c r="AJ19" s="204"/>
      <c r="AK19" s="205">
        <f t="shared" si="2"/>
        <v>0</v>
      </c>
      <c r="AL19" s="205">
        <f t="shared" si="3"/>
        <v>0</v>
      </c>
      <c r="AM19" s="205">
        <f t="shared" si="4"/>
        <v>0</v>
      </c>
      <c r="AN19" s="205">
        <f t="shared" si="5"/>
        <v>0</v>
      </c>
      <c r="AO19" s="205">
        <f t="shared" si="6"/>
        <v>0</v>
      </c>
      <c r="AP19" s="205">
        <f t="shared" si="7"/>
        <v>0</v>
      </c>
      <c r="AQ19" s="205">
        <f t="shared" si="8"/>
        <v>0</v>
      </c>
      <c r="AR19" s="205">
        <f t="shared" si="9"/>
        <v>0</v>
      </c>
      <c r="AS19" s="205">
        <f t="shared" si="10"/>
        <v>0</v>
      </c>
      <c r="AT19" s="205">
        <f t="shared" si="11"/>
        <v>0</v>
      </c>
      <c r="AU19" s="205">
        <f t="shared" si="12"/>
        <v>0</v>
      </c>
      <c r="AV19" s="205">
        <f t="shared" si="13"/>
        <v>0</v>
      </c>
      <c r="AW19" s="206">
        <f t="shared" si="14"/>
        <v>0</v>
      </c>
      <c r="AX19" s="206"/>
      <c r="AY19" s="207" t="str">
        <f t="shared" si="15"/>
        <v>NG</v>
      </c>
    </row>
    <row r="20" spans="1:59" ht="35.25" customHeight="1">
      <c r="A20" s="200"/>
      <c r="B20" s="155" t="s">
        <v>31</v>
      </c>
      <c r="C20" s="212" t="s">
        <v>62</v>
      </c>
      <c r="D20" s="163" t="s">
        <v>16</v>
      </c>
      <c r="E20" s="217"/>
      <c r="F20" s="161"/>
      <c r="G20" s="153"/>
      <c r="H20" s="213"/>
      <c r="I20" s="213"/>
      <c r="J20" s="153"/>
      <c r="K20" s="153"/>
      <c r="L20" s="213"/>
      <c r="M20" s="153"/>
      <c r="N20" s="153"/>
      <c r="O20" s="153"/>
      <c r="P20" s="164"/>
      <c r="Q20" s="153"/>
      <c r="R20" s="153"/>
      <c r="S20" s="153"/>
      <c r="T20" s="153"/>
      <c r="U20" s="153"/>
      <c r="V20" s="153"/>
      <c r="W20" s="153"/>
      <c r="X20" s="161"/>
      <c r="Y20" s="153"/>
      <c r="Z20" s="153"/>
      <c r="AA20" s="153"/>
      <c r="AB20" s="153"/>
      <c r="AC20" s="153"/>
      <c r="AD20" s="164"/>
      <c r="AE20" s="213"/>
      <c r="AF20" s="153"/>
      <c r="AG20" s="153"/>
      <c r="AH20" s="153"/>
      <c r="AI20" s="153"/>
      <c r="AJ20" s="204"/>
      <c r="AK20" s="205">
        <f t="shared" si="2"/>
        <v>0</v>
      </c>
      <c r="AL20" s="205">
        <f t="shared" si="3"/>
        <v>0</v>
      </c>
      <c r="AM20" s="205">
        <f t="shared" si="4"/>
        <v>0</v>
      </c>
      <c r="AN20" s="205">
        <f t="shared" si="5"/>
        <v>0</v>
      </c>
      <c r="AO20" s="205">
        <f t="shared" si="6"/>
        <v>0</v>
      </c>
      <c r="AP20" s="205">
        <f t="shared" si="7"/>
        <v>0</v>
      </c>
      <c r="AQ20" s="205">
        <f t="shared" si="8"/>
        <v>0</v>
      </c>
      <c r="AR20" s="205">
        <f t="shared" si="9"/>
        <v>0</v>
      </c>
      <c r="AS20" s="205">
        <f t="shared" si="10"/>
        <v>0</v>
      </c>
      <c r="AT20" s="205">
        <f t="shared" si="11"/>
        <v>0</v>
      </c>
      <c r="AU20" s="205">
        <f t="shared" si="12"/>
        <v>0</v>
      </c>
      <c r="AV20" s="205">
        <f t="shared" si="13"/>
        <v>0</v>
      </c>
      <c r="AW20" s="206">
        <f t="shared" si="14"/>
        <v>0</v>
      </c>
      <c r="AX20" s="206"/>
      <c r="AY20" s="207" t="str">
        <f t="shared" si="15"/>
        <v>NG</v>
      </c>
    </row>
    <row r="21" spans="1:59" ht="35.25" customHeight="1">
      <c r="A21" s="200"/>
      <c r="B21" s="155" t="s">
        <v>32</v>
      </c>
      <c r="C21" s="212" t="s">
        <v>62</v>
      </c>
      <c r="D21" s="163" t="s">
        <v>38</v>
      </c>
      <c r="E21" s="210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204"/>
      <c r="AK21" s="205">
        <f t="shared" si="2"/>
        <v>0</v>
      </c>
      <c r="AL21" s="205">
        <f t="shared" si="3"/>
        <v>0</v>
      </c>
      <c r="AM21" s="205">
        <f t="shared" si="4"/>
        <v>0</v>
      </c>
      <c r="AN21" s="205">
        <f t="shared" si="5"/>
        <v>0</v>
      </c>
      <c r="AO21" s="205">
        <f t="shared" si="6"/>
        <v>0</v>
      </c>
      <c r="AP21" s="205">
        <f t="shared" si="7"/>
        <v>0</v>
      </c>
      <c r="AQ21" s="205">
        <f t="shared" si="8"/>
        <v>0</v>
      </c>
      <c r="AR21" s="205">
        <f t="shared" si="9"/>
        <v>0</v>
      </c>
      <c r="AS21" s="205">
        <f t="shared" si="10"/>
        <v>0</v>
      </c>
      <c r="AT21" s="205">
        <f t="shared" si="11"/>
        <v>0</v>
      </c>
      <c r="AU21" s="205">
        <f t="shared" si="12"/>
        <v>0</v>
      </c>
      <c r="AV21" s="205">
        <f t="shared" si="13"/>
        <v>0</v>
      </c>
      <c r="AW21" s="206">
        <f t="shared" si="14"/>
        <v>0</v>
      </c>
      <c r="AX21" s="206"/>
      <c r="AY21" s="207" t="str">
        <f t="shared" si="15"/>
        <v>NG</v>
      </c>
    </row>
    <row r="22" spans="1:59" ht="35.25" customHeight="1" thickBot="1">
      <c r="A22" s="200"/>
      <c r="B22" s="165" t="s">
        <v>35</v>
      </c>
      <c r="C22" s="221" t="s">
        <v>64</v>
      </c>
      <c r="D22" s="166" t="s">
        <v>39</v>
      </c>
      <c r="E22" s="222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8"/>
      <c r="AH22" s="158"/>
      <c r="AI22" s="157"/>
      <c r="AJ22" s="204"/>
      <c r="AK22" s="205">
        <f t="shared" si="2"/>
        <v>0</v>
      </c>
      <c r="AL22" s="205">
        <f t="shared" si="3"/>
        <v>0</v>
      </c>
      <c r="AM22" s="205">
        <f t="shared" si="4"/>
        <v>0</v>
      </c>
      <c r="AN22" s="205">
        <f t="shared" si="5"/>
        <v>0</v>
      </c>
      <c r="AO22" s="205">
        <f t="shared" si="6"/>
        <v>0</v>
      </c>
      <c r="AP22" s="205">
        <f t="shared" si="7"/>
        <v>0</v>
      </c>
      <c r="AQ22" s="205">
        <f t="shared" si="8"/>
        <v>0</v>
      </c>
      <c r="AR22" s="205">
        <f t="shared" si="9"/>
        <v>0</v>
      </c>
      <c r="AS22" s="205">
        <f t="shared" si="10"/>
        <v>0</v>
      </c>
      <c r="AT22" s="205">
        <f t="shared" si="11"/>
        <v>0</v>
      </c>
      <c r="AU22" s="205">
        <f t="shared" si="12"/>
        <v>0</v>
      </c>
      <c r="AV22" s="205">
        <f t="shared" si="13"/>
        <v>0</v>
      </c>
      <c r="AW22" s="206">
        <f t="shared" si="14"/>
        <v>0</v>
      </c>
      <c r="AX22" s="206"/>
      <c r="AY22" s="207" t="str">
        <f t="shared" si="15"/>
        <v>NG</v>
      </c>
    </row>
    <row r="23" spans="1:59" ht="35.25" customHeight="1">
      <c r="A23" s="200"/>
      <c r="B23" s="151" t="s">
        <v>36</v>
      </c>
      <c r="C23" s="201" t="s">
        <v>62</v>
      </c>
      <c r="D23" s="152" t="s">
        <v>11</v>
      </c>
      <c r="E23" s="223"/>
      <c r="F23" s="224"/>
      <c r="G23" s="224"/>
      <c r="H23" s="224"/>
      <c r="I23" s="224"/>
      <c r="J23" s="224"/>
      <c r="K23" s="224"/>
      <c r="L23" s="224"/>
      <c r="M23" s="224"/>
      <c r="N23" s="224"/>
      <c r="O23" s="224"/>
      <c r="P23" s="224"/>
      <c r="Q23" s="224"/>
      <c r="R23" s="224"/>
      <c r="S23" s="224"/>
      <c r="T23" s="224"/>
      <c r="U23" s="224"/>
      <c r="V23" s="224"/>
      <c r="W23" s="224"/>
      <c r="X23" s="224"/>
      <c r="Y23" s="224"/>
      <c r="Z23" s="224"/>
      <c r="AA23" s="224"/>
      <c r="AB23" s="224"/>
      <c r="AC23" s="224"/>
      <c r="AD23" s="224"/>
      <c r="AE23" s="224"/>
      <c r="AF23" s="224"/>
      <c r="AG23" s="224"/>
      <c r="AH23" s="224"/>
      <c r="AI23" s="225"/>
      <c r="AJ23" s="226"/>
      <c r="AK23" s="205">
        <f t="shared" si="2"/>
        <v>0</v>
      </c>
      <c r="AL23" s="205">
        <f t="shared" si="3"/>
        <v>0</v>
      </c>
      <c r="AM23" s="205">
        <f t="shared" si="4"/>
        <v>0</v>
      </c>
      <c r="AN23" s="205">
        <f t="shared" si="5"/>
        <v>0</v>
      </c>
      <c r="AO23" s="205">
        <f t="shared" si="6"/>
        <v>0</v>
      </c>
      <c r="AP23" s="205">
        <f t="shared" si="7"/>
        <v>0</v>
      </c>
      <c r="AQ23" s="205">
        <f t="shared" si="8"/>
        <v>0</v>
      </c>
      <c r="AR23" s="205">
        <f t="shared" si="9"/>
        <v>0</v>
      </c>
      <c r="AS23" s="205">
        <f t="shared" si="10"/>
        <v>0</v>
      </c>
      <c r="AT23" s="205">
        <f t="shared" si="11"/>
        <v>0</v>
      </c>
      <c r="AU23" s="205">
        <f t="shared" si="12"/>
        <v>0</v>
      </c>
      <c r="AV23" s="205">
        <f t="shared" si="13"/>
        <v>0</v>
      </c>
      <c r="AW23" s="206">
        <f t="shared" si="14"/>
        <v>0</v>
      </c>
      <c r="AX23" s="206"/>
      <c r="AY23" s="207" t="str">
        <f t="shared" si="15"/>
        <v>NG</v>
      </c>
    </row>
    <row r="24" spans="1:59" ht="35.25" customHeight="1">
      <c r="B24" s="155" t="s">
        <v>36</v>
      </c>
      <c r="C24" s="212" t="s">
        <v>62</v>
      </c>
      <c r="D24" s="156" t="s">
        <v>12</v>
      </c>
      <c r="E24" s="227"/>
      <c r="F24" s="227"/>
      <c r="G24" s="227"/>
      <c r="H24" s="227"/>
      <c r="I24" s="227"/>
      <c r="J24" s="227"/>
      <c r="K24" s="227"/>
      <c r="L24" s="227"/>
      <c r="M24" s="227"/>
      <c r="N24" s="227"/>
      <c r="O24" s="227"/>
      <c r="P24" s="227"/>
      <c r="Q24" s="227"/>
      <c r="R24" s="227"/>
      <c r="S24" s="227"/>
      <c r="T24" s="227"/>
      <c r="U24" s="227"/>
      <c r="V24" s="227"/>
      <c r="W24" s="227"/>
      <c r="X24" s="227"/>
      <c r="Y24" s="227"/>
      <c r="Z24" s="227"/>
      <c r="AA24" s="227"/>
      <c r="AB24" s="227"/>
      <c r="AC24" s="227"/>
      <c r="AD24" s="227"/>
      <c r="AE24" s="227"/>
      <c r="AF24" s="227"/>
      <c r="AG24" s="227"/>
      <c r="AH24" s="227"/>
      <c r="AI24" s="228"/>
      <c r="AJ24" s="226"/>
      <c r="AK24" s="205">
        <f t="shared" si="2"/>
        <v>0</v>
      </c>
      <c r="AL24" s="205">
        <f t="shared" si="3"/>
        <v>0</v>
      </c>
      <c r="AM24" s="205">
        <f t="shared" si="4"/>
        <v>0</v>
      </c>
      <c r="AN24" s="205">
        <f t="shared" si="5"/>
        <v>0</v>
      </c>
      <c r="AO24" s="205">
        <f t="shared" si="6"/>
        <v>0</v>
      </c>
      <c r="AP24" s="205">
        <f t="shared" si="7"/>
        <v>0</v>
      </c>
      <c r="AQ24" s="205">
        <f t="shared" si="8"/>
        <v>0</v>
      </c>
      <c r="AR24" s="205">
        <f t="shared" si="9"/>
        <v>0</v>
      </c>
      <c r="AS24" s="205">
        <f t="shared" si="10"/>
        <v>0</v>
      </c>
      <c r="AT24" s="205">
        <f t="shared" si="11"/>
        <v>0</v>
      </c>
      <c r="AU24" s="205">
        <f t="shared" si="12"/>
        <v>0</v>
      </c>
      <c r="AV24" s="205">
        <f t="shared" si="13"/>
        <v>0</v>
      </c>
      <c r="AW24" s="206">
        <f t="shared" si="14"/>
        <v>0</v>
      </c>
      <c r="AX24" s="206"/>
      <c r="AY24" s="207" t="str">
        <f t="shared" si="15"/>
        <v>NG</v>
      </c>
    </row>
    <row r="25" spans="1:59" s="177" customFormat="1" ht="35.25" customHeight="1">
      <c r="A25" s="132"/>
      <c r="B25" s="155" t="s">
        <v>36</v>
      </c>
      <c r="C25" s="212" t="s">
        <v>62</v>
      </c>
      <c r="D25" s="167" t="s">
        <v>18</v>
      </c>
      <c r="E25" s="229"/>
      <c r="F25" s="153"/>
      <c r="G25" s="227"/>
      <c r="H25" s="227"/>
      <c r="I25" s="164"/>
      <c r="J25" s="227"/>
      <c r="K25" s="227"/>
      <c r="L25" s="227"/>
      <c r="M25" s="227"/>
      <c r="N25" s="227"/>
      <c r="O25" s="227"/>
      <c r="P25" s="227"/>
      <c r="Q25" s="227"/>
      <c r="R25" s="227"/>
      <c r="S25" s="227"/>
      <c r="T25" s="227"/>
      <c r="U25" s="227"/>
      <c r="V25" s="227"/>
      <c r="W25" s="227"/>
      <c r="X25" s="227"/>
      <c r="Y25" s="227"/>
      <c r="Z25" s="227"/>
      <c r="AA25" s="164"/>
      <c r="AB25" s="227"/>
      <c r="AC25" s="227"/>
      <c r="AD25" s="164"/>
      <c r="AE25" s="227"/>
      <c r="AF25" s="227"/>
      <c r="AG25" s="227"/>
      <c r="AH25" s="227"/>
      <c r="AI25" s="230"/>
      <c r="AJ25" s="231"/>
      <c r="AK25" s="205">
        <f t="shared" si="2"/>
        <v>0</v>
      </c>
      <c r="AL25" s="205">
        <f t="shared" si="3"/>
        <v>0</v>
      </c>
      <c r="AM25" s="205">
        <f t="shared" si="4"/>
        <v>0</v>
      </c>
      <c r="AN25" s="205">
        <f t="shared" si="5"/>
        <v>0</v>
      </c>
      <c r="AO25" s="205">
        <f t="shared" si="6"/>
        <v>0</v>
      </c>
      <c r="AP25" s="205">
        <f t="shared" si="7"/>
        <v>0</v>
      </c>
      <c r="AQ25" s="205">
        <f t="shared" si="8"/>
        <v>0</v>
      </c>
      <c r="AR25" s="205">
        <f t="shared" si="9"/>
        <v>0</v>
      </c>
      <c r="AS25" s="205">
        <f t="shared" si="10"/>
        <v>0</v>
      </c>
      <c r="AT25" s="205">
        <f t="shared" si="11"/>
        <v>0</v>
      </c>
      <c r="AU25" s="205">
        <f t="shared" si="12"/>
        <v>0</v>
      </c>
      <c r="AV25" s="205">
        <f t="shared" si="13"/>
        <v>0</v>
      </c>
      <c r="AW25" s="206">
        <f t="shared" si="14"/>
        <v>0</v>
      </c>
      <c r="AX25" s="206"/>
      <c r="AY25" s="207" t="str">
        <f t="shared" si="15"/>
        <v>NG</v>
      </c>
      <c r="AZ25" s="132"/>
      <c r="BA25" s="132"/>
      <c r="BB25" s="132"/>
      <c r="BC25" s="132"/>
      <c r="BD25" s="132"/>
      <c r="BE25" s="132"/>
      <c r="BF25" s="132"/>
      <c r="BG25" s="132"/>
    </row>
    <row r="26" spans="1:59" s="177" customFormat="1" ht="35" customHeight="1">
      <c r="A26" s="132"/>
      <c r="B26" s="155" t="s">
        <v>36</v>
      </c>
      <c r="C26" s="212" t="s">
        <v>62</v>
      </c>
      <c r="D26" s="167" t="s">
        <v>98</v>
      </c>
      <c r="E26" s="232"/>
      <c r="F26" s="227"/>
      <c r="G26" s="227"/>
      <c r="H26" s="227"/>
      <c r="I26" s="233"/>
      <c r="J26" s="227"/>
      <c r="K26" s="227"/>
      <c r="L26" s="234"/>
      <c r="M26" s="227"/>
      <c r="N26" s="227"/>
      <c r="O26" s="227"/>
      <c r="P26" s="233"/>
      <c r="Q26" s="227"/>
      <c r="R26" s="227"/>
      <c r="S26" s="234"/>
      <c r="T26" s="227"/>
      <c r="U26" s="227"/>
      <c r="V26" s="227"/>
      <c r="W26" s="233"/>
      <c r="X26" s="227"/>
      <c r="Y26" s="227"/>
      <c r="Z26" s="227"/>
      <c r="AA26" s="227"/>
      <c r="AB26" s="227"/>
      <c r="AC26" s="227"/>
      <c r="AD26" s="233"/>
      <c r="AE26" s="227"/>
      <c r="AF26" s="227"/>
      <c r="AG26" s="234"/>
      <c r="AH26" s="227"/>
      <c r="AI26" s="227"/>
      <c r="AJ26" s="231"/>
      <c r="AK26" s="205">
        <f t="shared" si="2"/>
        <v>0</v>
      </c>
      <c r="AL26" s="205">
        <f t="shared" si="3"/>
        <v>0</v>
      </c>
      <c r="AM26" s="205">
        <f t="shared" si="4"/>
        <v>0</v>
      </c>
      <c r="AN26" s="205">
        <f t="shared" si="5"/>
        <v>0</v>
      </c>
      <c r="AO26" s="205">
        <f t="shared" si="6"/>
        <v>0</v>
      </c>
      <c r="AP26" s="205">
        <f t="shared" si="7"/>
        <v>0</v>
      </c>
      <c r="AQ26" s="205">
        <f t="shared" si="8"/>
        <v>0</v>
      </c>
      <c r="AR26" s="205">
        <f t="shared" si="9"/>
        <v>0</v>
      </c>
      <c r="AS26" s="205">
        <f t="shared" si="10"/>
        <v>0</v>
      </c>
      <c r="AT26" s="205">
        <f t="shared" si="11"/>
        <v>0</v>
      </c>
      <c r="AU26" s="205">
        <f t="shared" si="12"/>
        <v>0</v>
      </c>
      <c r="AV26" s="205">
        <f t="shared" si="13"/>
        <v>0</v>
      </c>
      <c r="AW26" s="206">
        <f t="shared" si="14"/>
        <v>0</v>
      </c>
      <c r="AX26" s="206"/>
      <c r="AY26" s="207" t="str">
        <f t="shared" si="15"/>
        <v>NG</v>
      </c>
      <c r="AZ26" s="132"/>
      <c r="BA26" s="132"/>
      <c r="BB26" s="132"/>
      <c r="BC26" s="132"/>
      <c r="BD26" s="132"/>
      <c r="BE26" s="132"/>
      <c r="BF26" s="132"/>
      <c r="BG26" s="132"/>
    </row>
    <row r="27" spans="1:59" s="177" customFormat="1" ht="35" customHeight="1">
      <c r="A27" s="132"/>
      <c r="B27" s="155" t="s">
        <v>36</v>
      </c>
      <c r="C27" s="212" t="s">
        <v>63</v>
      </c>
      <c r="D27" s="156" t="s">
        <v>28</v>
      </c>
      <c r="E27" s="232"/>
      <c r="F27" s="153"/>
      <c r="G27" s="227"/>
      <c r="H27" s="234"/>
      <c r="I27" s="233"/>
      <c r="J27" s="227"/>
      <c r="K27" s="227"/>
      <c r="L27" s="234"/>
      <c r="M27" s="227"/>
      <c r="N27" s="227"/>
      <c r="O27" s="234"/>
      <c r="P27" s="227"/>
      <c r="Q27" s="227"/>
      <c r="R27" s="227"/>
      <c r="S27" s="234"/>
      <c r="T27" s="227"/>
      <c r="U27" s="227"/>
      <c r="V27" s="227"/>
      <c r="W27" s="233"/>
      <c r="X27" s="227"/>
      <c r="Y27" s="227"/>
      <c r="Z27" s="227"/>
      <c r="AA27" s="153"/>
      <c r="AB27" s="227"/>
      <c r="AC27" s="234"/>
      <c r="AD27" s="233"/>
      <c r="AE27" s="227"/>
      <c r="AF27" s="227"/>
      <c r="AG27" s="234"/>
      <c r="AH27" s="227"/>
      <c r="AI27" s="235"/>
      <c r="AJ27" s="231"/>
      <c r="AK27" s="205">
        <f t="shared" si="2"/>
        <v>0</v>
      </c>
      <c r="AL27" s="205">
        <f t="shared" si="3"/>
        <v>0</v>
      </c>
      <c r="AM27" s="205">
        <f t="shared" si="4"/>
        <v>0</v>
      </c>
      <c r="AN27" s="205">
        <f t="shared" si="5"/>
        <v>0</v>
      </c>
      <c r="AO27" s="205">
        <f t="shared" si="6"/>
        <v>0</v>
      </c>
      <c r="AP27" s="205">
        <f t="shared" si="7"/>
        <v>0</v>
      </c>
      <c r="AQ27" s="205">
        <f t="shared" si="8"/>
        <v>0</v>
      </c>
      <c r="AR27" s="205">
        <f t="shared" si="9"/>
        <v>0</v>
      </c>
      <c r="AS27" s="205">
        <f t="shared" si="10"/>
        <v>0</v>
      </c>
      <c r="AT27" s="205">
        <f t="shared" si="11"/>
        <v>0</v>
      </c>
      <c r="AU27" s="205">
        <f t="shared" si="12"/>
        <v>0</v>
      </c>
      <c r="AV27" s="205">
        <f t="shared" si="13"/>
        <v>0</v>
      </c>
      <c r="AW27" s="206">
        <f t="shared" si="14"/>
        <v>0</v>
      </c>
      <c r="AX27" s="206"/>
      <c r="AY27" s="207" t="str">
        <f t="shared" si="15"/>
        <v>NG</v>
      </c>
      <c r="AZ27" s="132"/>
      <c r="BA27" s="132"/>
      <c r="BB27" s="132"/>
      <c r="BC27" s="132"/>
      <c r="BD27" s="132"/>
      <c r="BE27" s="132"/>
      <c r="BF27" s="132"/>
      <c r="BG27" s="132"/>
    </row>
    <row r="28" spans="1:59" s="177" customFormat="1" ht="35" customHeight="1">
      <c r="A28" s="132"/>
      <c r="B28" s="155" t="s">
        <v>36</v>
      </c>
      <c r="C28" s="212" t="s">
        <v>65</v>
      </c>
      <c r="D28" s="156" t="s">
        <v>9</v>
      </c>
      <c r="E28" s="232"/>
      <c r="F28" s="227"/>
      <c r="G28" s="153"/>
      <c r="H28" s="234"/>
      <c r="I28" s="153"/>
      <c r="J28" s="227"/>
      <c r="K28" s="227"/>
      <c r="L28" s="234"/>
      <c r="M28" s="227"/>
      <c r="N28" s="227"/>
      <c r="O28" s="234"/>
      <c r="P28" s="233"/>
      <c r="Q28" s="227"/>
      <c r="R28" s="227"/>
      <c r="S28" s="227"/>
      <c r="T28" s="227"/>
      <c r="U28" s="227"/>
      <c r="V28" s="227"/>
      <c r="W28" s="233"/>
      <c r="X28" s="227"/>
      <c r="Y28" s="227"/>
      <c r="Z28" s="227"/>
      <c r="AA28" s="227"/>
      <c r="AB28" s="227"/>
      <c r="AC28" s="234"/>
      <c r="AD28" s="153"/>
      <c r="AE28" s="227"/>
      <c r="AF28" s="227"/>
      <c r="AG28" s="227"/>
      <c r="AH28" s="227"/>
      <c r="AI28" s="235"/>
      <c r="AJ28" s="231"/>
      <c r="AK28" s="205">
        <f t="shared" si="2"/>
        <v>0</v>
      </c>
      <c r="AL28" s="205">
        <f t="shared" si="3"/>
        <v>0</v>
      </c>
      <c r="AM28" s="205">
        <f t="shared" si="4"/>
        <v>0</v>
      </c>
      <c r="AN28" s="205">
        <f t="shared" si="5"/>
        <v>0</v>
      </c>
      <c r="AO28" s="205">
        <f t="shared" si="6"/>
        <v>0</v>
      </c>
      <c r="AP28" s="205">
        <f t="shared" si="7"/>
        <v>0</v>
      </c>
      <c r="AQ28" s="205">
        <f t="shared" si="8"/>
        <v>0</v>
      </c>
      <c r="AR28" s="205">
        <f t="shared" si="9"/>
        <v>0</v>
      </c>
      <c r="AS28" s="205">
        <f t="shared" si="10"/>
        <v>0</v>
      </c>
      <c r="AT28" s="205">
        <f t="shared" si="11"/>
        <v>0</v>
      </c>
      <c r="AU28" s="205">
        <f t="shared" si="12"/>
        <v>0</v>
      </c>
      <c r="AV28" s="205">
        <f t="shared" si="13"/>
        <v>0</v>
      </c>
      <c r="AW28" s="206">
        <f t="shared" si="14"/>
        <v>0</v>
      </c>
      <c r="AX28" s="206"/>
      <c r="AY28" s="207" t="str">
        <f t="shared" si="15"/>
        <v>NG</v>
      </c>
      <c r="AZ28" s="132"/>
      <c r="BA28" s="132"/>
      <c r="BB28" s="132"/>
      <c r="BC28" s="132"/>
      <c r="BD28" s="132"/>
      <c r="BE28" s="132"/>
      <c r="BF28" s="132"/>
      <c r="BG28" s="132"/>
    </row>
    <row r="29" spans="1:59" s="177" customFormat="1" ht="35" customHeight="1">
      <c r="A29" s="132"/>
      <c r="B29" s="155" t="s">
        <v>36</v>
      </c>
      <c r="C29" s="212" t="s">
        <v>62</v>
      </c>
      <c r="D29" s="167" t="s">
        <v>49</v>
      </c>
      <c r="E29" s="236"/>
      <c r="F29" s="233"/>
      <c r="G29" s="233"/>
      <c r="H29" s="233"/>
      <c r="I29" s="233"/>
      <c r="J29" s="233"/>
      <c r="K29" s="233"/>
      <c r="L29" s="227"/>
      <c r="M29" s="233"/>
      <c r="N29" s="227"/>
      <c r="O29" s="233"/>
      <c r="P29" s="233"/>
      <c r="Q29" s="233"/>
      <c r="R29" s="233"/>
      <c r="S29" s="227"/>
      <c r="T29" s="233"/>
      <c r="U29" s="227"/>
      <c r="V29" s="233"/>
      <c r="W29" s="233"/>
      <c r="X29" s="227"/>
      <c r="Y29" s="227"/>
      <c r="Z29" s="227"/>
      <c r="AA29" s="233"/>
      <c r="AB29" s="227"/>
      <c r="AC29" s="233"/>
      <c r="AD29" s="233"/>
      <c r="AE29" s="227"/>
      <c r="AF29" s="233"/>
      <c r="AG29" s="233"/>
      <c r="AH29" s="233"/>
      <c r="AI29" s="228"/>
      <c r="AJ29" s="231"/>
      <c r="AK29" s="205">
        <f t="shared" si="2"/>
        <v>0</v>
      </c>
      <c r="AL29" s="205">
        <f t="shared" si="3"/>
        <v>0</v>
      </c>
      <c r="AM29" s="205">
        <f t="shared" si="4"/>
        <v>0</v>
      </c>
      <c r="AN29" s="205">
        <f t="shared" si="5"/>
        <v>0</v>
      </c>
      <c r="AO29" s="205">
        <f t="shared" si="6"/>
        <v>0</v>
      </c>
      <c r="AP29" s="205">
        <f t="shared" si="7"/>
        <v>0</v>
      </c>
      <c r="AQ29" s="205">
        <f t="shared" si="8"/>
        <v>0</v>
      </c>
      <c r="AR29" s="205">
        <f t="shared" si="9"/>
        <v>0</v>
      </c>
      <c r="AS29" s="205">
        <f t="shared" si="10"/>
        <v>0</v>
      </c>
      <c r="AT29" s="205">
        <f t="shared" si="11"/>
        <v>0</v>
      </c>
      <c r="AU29" s="205">
        <f t="shared" si="12"/>
        <v>0</v>
      </c>
      <c r="AV29" s="205">
        <f t="shared" si="13"/>
        <v>0</v>
      </c>
      <c r="AW29" s="206">
        <f t="shared" si="14"/>
        <v>0</v>
      </c>
      <c r="AX29" s="206"/>
      <c r="AY29" s="207" t="str">
        <f t="shared" si="15"/>
        <v>NG</v>
      </c>
      <c r="AZ29" s="132"/>
      <c r="BA29" s="132"/>
      <c r="BB29" s="132"/>
      <c r="BC29" s="132"/>
      <c r="BD29" s="132"/>
      <c r="BE29" s="132"/>
      <c r="BF29" s="132"/>
      <c r="BG29" s="132"/>
    </row>
    <row r="30" spans="1:59" ht="35" customHeight="1" thickBot="1">
      <c r="B30" s="168" t="s">
        <v>36</v>
      </c>
      <c r="C30" s="237" t="s">
        <v>62</v>
      </c>
      <c r="D30" s="169" t="s">
        <v>73</v>
      </c>
      <c r="E30" s="238"/>
      <c r="F30" s="239"/>
      <c r="G30" s="239"/>
      <c r="H30" s="239"/>
      <c r="I30" s="239"/>
      <c r="J30" s="239"/>
      <c r="K30" s="239"/>
      <c r="L30" s="239"/>
      <c r="M30" s="239"/>
      <c r="N30" s="239"/>
      <c r="O30" s="239"/>
      <c r="P30" s="239"/>
      <c r="Q30" s="239"/>
      <c r="R30" s="239"/>
      <c r="S30" s="239"/>
      <c r="T30" s="239"/>
      <c r="U30" s="239"/>
      <c r="V30" s="239"/>
      <c r="W30" s="239"/>
      <c r="X30" s="239"/>
      <c r="Y30" s="239"/>
      <c r="Z30" s="239"/>
      <c r="AA30" s="239"/>
      <c r="AB30" s="239"/>
      <c r="AC30" s="239"/>
      <c r="AD30" s="239"/>
      <c r="AE30" s="239"/>
      <c r="AF30" s="239"/>
      <c r="AG30" s="239"/>
      <c r="AH30" s="239"/>
      <c r="AI30" s="240"/>
      <c r="AJ30" s="188"/>
      <c r="AK30" s="205">
        <f t="shared" si="2"/>
        <v>0</v>
      </c>
      <c r="AL30" s="205">
        <f t="shared" si="3"/>
        <v>0</v>
      </c>
      <c r="AM30" s="205">
        <f t="shared" si="4"/>
        <v>0</v>
      </c>
      <c r="AN30" s="205">
        <f t="shared" si="5"/>
        <v>0</v>
      </c>
      <c r="AO30" s="205">
        <f t="shared" si="6"/>
        <v>0</v>
      </c>
      <c r="AP30" s="205">
        <f t="shared" si="7"/>
        <v>0</v>
      </c>
      <c r="AQ30" s="205">
        <f t="shared" si="8"/>
        <v>0</v>
      </c>
      <c r="AR30" s="205">
        <f t="shared" si="9"/>
        <v>0</v>
      </c>
      <c r="AS30" s="205">
        <f t="shared" si="10"/>
        <v>0</v>
      </c>
      <c r="AT30" s="205">
        <f t="shared" si="11"/>
        <v>0</v>
      </c>
      <c r="AU30" s="205">
        <f t="shared" si="12"/>
        <v>0</v>
      </c>
      <c r="AV30" s="205">
        <f t="shared" si="13"/>
        <v>0</v>
      </c>
      <c r="AW30" s="206">
        <f t="shared" si="14"/>
        <v>0</v>
      </c>
      <c r="AX30" s="206"/>
      <c r="AY30" s="207" t="str">
        <f t="shared" si="15"/>
        <v>NG</v>
      </c>
    </row>
    <row r="31" spans="1:59" ht="34.5" customHeight="1" thickBot="1">
      <c r="B31" s="177"/>
      <c r="C31" s="177"/>
      <c r="D31" s="241"/>
      <c r="E31" s="242"/>
      <c r="F31" s="243"/>
      <c r="G31" s="243"/>
      <c r="H31" s="244"/>
      <c r="I31" s="243"/>
      <c r="J31" s="244"/>
      <c r="K31" s="241"/>
      <c r="L31" s="241"/>
      <c r="M31" s="242"/>
      <c r="N31" s="243"/>
      <c r="O31" s="243"/>
      <c r="P31" s="243"/>
      <c r="Q31" s="243"/>
      <c r="R31" s="244"/>
      <c r="S31" s="241"/>
      <c r="T31" s="242"/>
      <c r="U31" s="241"/>
      <c r="V31" s="241"/>
      <c r="W31" s="241"/>
      <c r="X31" s="241"/>
      <c r="Y31" s="243"/>
      <c r="Z31" s="243"/>
      <c r="AA31" s="243"/>
      <c r="AB31" s="243"/>
      <c r="AC31" s="242"/>
      <c r="AD31" s="243"/>
      <c r="AE31" s="243"/>
      <c r="AF31" s="243"/>
      <c r="AG31" s="243"/>
      <c r="AH31" s="177"/>
      <c r="AI31" s="177"/>
      <c r="AK31" s="245"/>
      <c r="AL31" s="246"/>
      <c r="AM31" s="246"/>
      <c r="AN31" s="246"/>
      <c r="AO31" s="245"/>
      <c r="AP31" s="247"/>
      <c r="AQ31" s="245"/>
      <c r="AR31" s="245"/>
      <c r="AS31" s="245"/>
      <c r="AT31" s="245"/>
      <c r="AU31" s="245"/>
      <c r="AV31" s="245"/>
      <c r="AW31" s="245"/>
      <c r="AX31" s="245"/>
    </row>
    <row r="32" spans="1:59" ht="34.5" customHeight="1">
      <c r="B32" s="397" t="s">
        <v>52</v>
      </c>
      <c r="C32" s="400" t="s">
        <v>69</v>
      </c>
      <c r="D32" s="401"/>
      <c r="E32" s="246">
        <f>COUNTIF(E$7:E$17,"A")</f>
        <v>0</v>
      </c>
      <c r="F32" s="246">
        <f t="shared" ref="F32:AF32" si="16">COUNTIF(F$7:F$17,"A")</f>
        <v>0</v>
      </c>
      <c r="G32" s="246">
        <f t="shared" si="16"/>
        <v>0</v>
      </c>
      <c r="H32" s="246">
        <f t="shared" si="16"/>
        <v>0</v>
      </c>
      <c r="I32" s="246">
        <f t="shared" si="16"/>
        <v>0</v>
      </c>
      <c r="J32" s="246">
        <f t="shared" si="16"/>
        <v>0</v>
      </c>
      <c r="K32" s="246">
        <f t="shared" si="16"/>
        <v>0</v>
      </c>
      <c r="L32" s="246">
        <f t="shared" si="16"/>
        <v>0</v>
      </c>
      <c r="M32" s="246">
        <f t="shared" si="16"/>
        <v>0</v>
      </c>
      <c r="N32" s="246">
        <f t="shared" si="16"/>
        <v>0</v>
      </c>
      <c r="O32" s="246">
        <f t="shared" si="16"/>
        <v>0</v>
      </c>
      <c r="P32" s="246">
        <f t="shared" si="16"/>
        <v>0</v>
      </c>
      <c r="Q32" s="246">
        <f t="shared" si="16"/>
        <v>0</v>
      </c>
      <c r="R32" s="246">
        <f t="shared" si="16"/>
        <v>0</v>
      </c>
      <c r="S32" s="246">
        <f t="shared" si="16"/>
        <v>0</v>
      </c>
      <c r="T32" s="246">
        <f t="shared" si="16"/>
        <v>0</v>
      </c>
      <c r="U32" s="246">
        <f t="shared" si="16"/>
        <v>0</v>
      </c>
      <c r="V32" s="246">
        <f t="shared" si="16"/>
        <v>0</v>
      </c>
      <c r="W32" s="246">
        <f t="shared" si="16"/>
        <v>0</v>
      </c>
      <c r="X32" s="246">
        <f t="shared" si="16"/>
        <v>0</v>
      </c>
      <c r="Y32" s="246">
        <f t="shared" si="16"/>
        <v>0</v>
      </c>
      <c r="Z32" s="246">
        <f t="shared" si="16"/>
        <v>0</v>
      </c>
      <c r="AA32" s="246">
        <f t="shared" si="16"/>
        <v>0</v>
      </c>
      <c r="AB32" s="246">
        <f t="shared" si="16"/>
        <v>0</v>
      </c>
      <c r="AC32" s="246">
        <f t="shared" si="16"/>
        <v>0</v>
      </c>
      <c r="AD32" s="246">
        <f t="shared" si="16"/>
        <v>0</v>
      </c>
      <c r="AE32" s="246">
        <f t="shared" si="16"/>
        <v>0</v>
      </c>
      <c r="AF32" s="246">
        <f t="shared" si="16"/>
        <v>0</v>
      </c>
      <c r="AG32" s="246">
        <f t="shared" ref="AG32:AI32" si="17">COUNTIF(AG$7:AG$17,"A")</f>
        <v>0</v>
      </c>
      <c r="AH32" s="246">
        <f t="shared" si="17"/>
        <v>0</v>
      </c>
      <c r="AI32" s="246">
        <f t="shared" si="17"/>
        <v>0</v>
      </c>
      <c r="AK32" s="245"/>
      <c r="AL32" s="246"/>
      <c r="AM32" s="246"/>
      <c r="AN32" s="246"/>
      <c r="AO32" s="245"/>
      <c r="AP32" s="245"/>
      <c r="AQ32" s="245"/>
      <c r="AR32" s="245"/>
      <c r="AS32" s="245"/>
      <c r="AT32" s="245"/>
      <c r="AU32" s="245"/>
      <c r="AV32" s="245"/>
      <c r="AW32" s="245"/>
      <c r="AX32" s="245"/>
    </row>
    <row r="33" spans="2:50" ht="34.5" customHeight="1">
      <c r="B33" s="398"/>
      <c r="C33" s="402" t="s">
        <v>37</v>
      </c>
      <c r="D33" s="403"/>
      <c r="E33" s="246">
        <f>COUNTIF(E$7:E$17,"B")</f>
        <v>0</v>
      </c>
      <c r="F33" s="246">
        <f t="shared" ref="F33:AF33" si="18">COUNTIF(F$7:F$17,"B")</f>
        <v>0</v>
      </c>
      <c r="G33" s="246">
        <f t="shared" si="18"/>
        <v>0</v>
      </c>
      <c r="H33" s="246">
        <f t="shared" si="18"/>
        <v>0</v>
      </c>
      <c r="I33" s="246">
        <f t="shared" si="18"/>
        <v>0</v>
      </c>
      <c r="J33" s="246">
        <f t="shared" si="18"/>
        <v>0</v>
      </c>
      <c r="K33" s="246">
        <f t="shared" si="18"/>
        <v>0</v>
      </c>
      <c r="L33" s="246">
        <f t="shared" si="18"/>
        <v>0</v>
      </c>
      <c r="M33" s="246">
        <f t="shared" si="18"/>
        <v>0</v>
      </c>
      <c r="N33" s="246">
        <f t="shared" si="18"/>
        <v>0</v>
      </c>
      <c r="O33" s="246">
        <f t="shared" si="18"/>
        <v>0</v>
      </c>
      <c r="P33" s="246">
        <f t="shared" si="18"/>
        <v>0</v>
      </c>
      <c r="Q33" s="246">
        <f t="shared" si="18"/>
        <v>0</v>
      </c>
      <c r="R33" s="246">
        <f t="shared" si="18"/>
        <v>0</v>
      </c>
      <c r="S33" s="246">
        <f t="shared" si="18"/>
        <v>0</v>
      </c>
      <c r="T33" s="246">
        <f t="shared" si="18"/>
        <v>0</v>
      </c>
      <c r="U33" s="246">
        <f t="shared" si="18"/>
        <v>0</v>
      </c>
      <c r="V33" s="246">
        <f t="shared" si="18"/>
        <v>0</v>
      </c>
      <c r="W33" s="246">
        <f t="shared" si="18"/>
        <v>0</v>
      </c>
      <c r="X33" s="246">
        <f t="shared" si="18"/>
        <v>0</v>
      </c>
      <c r="Y33" s="246">
        <f t="shared" si="18"/>
        <v>0</v>
      </c>
      <c r="Z33" s="246">
        <f t="shared" si="18"/>
        <v>0</v>
      </c>
      <c r="AA33" s="246">
        <f t="shared" si="18"/>
        <v>0</v>
      </c>
      <c r="AB33" s="246">
        <f t="shared" si="18"/>
        <v>0</v>
      </c>
      <c r="AC33" s="246">
        <f t="shared" si="18"/>
        <v>0</v>
      </c>
      <c r="AD33" s="246">
        <f t="shared" si="18"/>
        <v>0</v>
      </c>
      <c r="AE33" s="246">
        <f t="shared" si="18"/>
        <v>0</v>
      </c>
      <c r="AF33" s="246">
        <f t="shared" si="18"/>
        <v>0</v>
      </c>
      <c r="AG33" s="246">
        <f t="shared" ref="AG33:AI33" si="19">COUNTIF(AG$7:AG$17,"B")</f>
        <v>0</v>
      </c>
      <c r="AH33" s="246">
        <f t="shared" si="19"/>
        <v>0</v>
      </c>
      <c r="AI33" s="246">
        <f t="shared" si="19"/>
        <v>0</v>
      </c>
      <c r="AK33" s="245"/>
      <c r="AL33" s="246"/>
      <c r="AM33" s="246"/>
      <c r="AN33" s="246"/>
      <c r="AO33" s="245"/>
      <c r="AP33" s="247"/>
      <c r="AQ33" s="245"/>
      <c r="AR33" s="245"/>
      <c r="AS33" s="245"/>
      <c r="AT33" s="245"/>
      <c r="AU33" s="245"/>
      <c r="AV33" s="245"/>
      <c r="AW33" s="245"/>
      <c r="AX33" s="245"/>
    </row>
    <row r="34" spans="2:50" ht="34.5" customHeight="1">
      <c r="B34" s="398"/>
      <c r="C34" s="402" t="s">
        <v>75</v>
      </c>
      <c r="D34" s="403"/>
      <c r="E34" s="246">
        <f>COUNTIF(E$7:E$17,"C")</f>
        <v>0</v>
      </c>
      <c r="F34" s="246">
        <f t="shared" ref="F34:AF34" si="20">COUNTIF(F$7:F$17,"C")</f>
        <v>0</v>
      </c>
      <c r="G34" s="246">
        <f t="shared" si="20"/>
        <v>0</v>
      </c>
      <c r="H34" s="246">
        <f t="shared" si="20"/>
        <v>0</v>
      </c>
      <c r="I34" s="246">
        <f t="shared" si="20"/>
        <v>0</v>
      </c>
      <c r="J34" s="246">
        <f t="shared" si="20"/>
        <v>0</v>
      </c>
      <c r="K34" s="246">
        <f t="shared" si="20"/>
        <v>0</v>
      </c>
      <c r="L34" s="246">
        <f t="shared" si="20"/>
        <v>0</v>
      </c>
      <c r="M34" s="246">
        <f t="shared" si="20"/>
        <v>0</v>
      </c>
      <c r="N34" s="246">
        <f t="shared" si="20"/>
        <v>0</v>
      </c>
      <c r="O34" s="246">
        <f t="shared" si="20"/>
        <v>0</v>
      </c>
      <c r="P34" s="246">
        <f t="shared" si="20"/>
        <v>0</v>
      </c>
      <c r="Q34" s="246">
        <f t="shared" si="20"/>
        <v>0</v>
      </c>
      <c r="R34" s="246">
        <f t="shared" si="20"/>
        <v>0</v>
      </c>
      <c r="S34" s="246">
        <f t="shared" si="20"/>
        <v>0</v>
      </c>
      <c r="T34" s="246">
        <f t="shared" si="20"/>
        <v>0</v>
      </c>
      <c r="U34" s="246">
        <f t="shared" si="20"/>
        <v>0</v>
      </c>
      <c r="V34" s="246">
        <f t="shared" si="20"/>
        <v>0</v>
      </c>
      <c r="W34" s="246">
        <f t="shared" si="20"/>
        <v>0</v>
      </c>
      <c r="X34" s="246">
        <f t="shared" si="20"/>
        <v>0</v>
      </c>
      <c r="Y34" s="246">
        <f t="shared" si="20"/>
        <v>0</v>
      </c>
      <c r="Z34" s="246">
        <f t="shared" si="20"/>
        <v>0</v>
      </c>
      <c r="AA34" s="246">
        <f t="shared" si="20"/>
        <v>0</v>
      </c>
      <c r="AB34" s="246">
        <f t="shared" si="20"/>
        <v>0</v>
      </c>
      <c r="AC34" s="246">
        <f t="shared" si="20"/>
        <v>0</v>
      </c>
      <c r="AD34" s="246">
        <f t="shared" si="20"/>
        <v>0</v>
      </c>
      <c r="AE34" s="246">
        <f t="shared" si="20"/>
        <v>0</v>
      </c>
      <c r="AF34" s="246">
        <f t="shared" si="20"/>
        <v>0</v>
      </c>
      <c r="AG34" s="246">
        <f t="shared" ref="AG34:AI34" si="21">COUNTIF(AG$7:AG$17,"C")</f>
        <v>0</v>
      </c>
      <c r="AH34" s="246">
        <f t="shared" si="21"/>
        <v>0</v>
      </c>
      <c r="AI34" s="246">
        <f t="shared" si="21"/>
        <v>0</v>
      </c>
      <c r="AK34" s="245"/>
      <c r="AL34" s="246"/>
      <c r="AM34" s="246"/>
      <c r="AN34" s="246"/>
      <c r="AO34" s="245"/>
      <c r="AP34" s="247"/>
      <c r="AQ34" s="245"/>
      <c r="AR34" s="245"/>
      <c r="AS34" s="245"/>
      <c r="AT34" s="245"/>
      <c r="AU34" s="245"/>
      <c r="AV34" s="245"/>
      <c r="AW34" s="245"/>
      <c r="AX34" s="245"/>
    </row>
    <row r="35" spans="2:50" ht="34.5" customHeight="1">
      <c r="B35" s="398"/>
      <c r="C35" s="402" t="s">
        <v>70</v>
      </c>
      <c r="D35" s="403"/>
      <c r="E35" s="246">
        <f>COUNTIF(E$7:E$17,"D")</f>
        <v>0</v>
      </c>
      <c r="F35" s="246">
        <f t="shared" ref="F35:AF35" si="22">COUNTIF(F$7:F$17,"D")</f>
        <v>0</v>
      </c>
      <c r="G35" s="246">
        <f t="shared" si="22"/>
        <v>0</v>
      </c>
      <c r="H35" s="246">
        <f t="shared" si="22"/>
        <v>0</v>
      </c>
      <c r="I35" s="246">
        <f t="shared" si="22"/>
        <v>0</v>
      </c>
      <c r="J35" s="246">
        <f t="shared" si="22"/>
        <v>0</v>
      </c>
      <c r="K35" s="246">
        <f t="shared" si="22"/>
        <v>0</v>
      </c>
      <c r="L35" s="246">
        <f t="shared" si="22"/>
        <v>0</v>
      </c>
      <c r="M35" s="246">
        <f t="shared" si="22"/>
        <v>0</v>
      </c>
      <c r="N35" s="246">
        <f t="shared" si="22"/>
        <v>0</v>
      </c>
      <c r="O35" s="246">
        <f t="shared" si="22"/>
        <v>0</v>
      </c>
      <c r="P35" s="246">
        <f t="shared" si="22"/>
        <v>0</v>
      </c>
      <c r="Q35" s="246">
        <f t="shared" si="22"/>
        <v>0</v>
      </c>
      <c r="R35" s="246">
        <f t="shared" si="22"/>
        <v>0</v>
      </c>
      <c r="S35" s="246">
        <f t="shared" si="22"/>
        <v>0</v>
      </c>
      <c r="T35" s="246">
        <f t="shared" si="22"/>
        <v>0</v>
      </c>
      <c r="U35" s="246">
        <f t="shared" si="22"/>
        <v>0</v>
      </c>
      <c r="V35" s="246">
        <f t="shared" si="22"/>
        <v>0</v>
      </c>
      <c r="W35" s="246">
        <f t="shared" si="22"/>
        <v>0</v>
      </c>
      <c r="X35" s="246">
        <f t="shared" si="22"/>
        <v>0</v>
      </c>
      <c r="Y35" s="246">
        <f t="shared" si="22"/>
        <v>0</v>
      </c>
      <c r="Z35" s="246">
        <f t="shared" si="22"/>
        <v>0</v>
      </c>
      <c r="AA35" s="246">
        <f t="shared" si="22"/>
        <v>0</v>
      </c>
      <c r="AB35" s="246">
        <f t="shared" si="22"/>
        <v>0</v>
      </c>
      <c r="AC35" s="246">
        <f t="shared" si="22"/>
        <v>0</v>
      </c>
      <c r="AD35" s="246">
        <f t="shared" si="22"/>
        <v>0</v>
      </c>
      <c r="AE35" s="246">
        <f t="shared" si="22"/>
        <v>0</v>
      </c>
      <c r="AF35" s="246">
        <f t="shared" si="22"/>
        <v>0</v>
      </c>
      <c r="AG35" s="246">
        <f t="shared" ref="AG35:AI35" si="23">COUNTIF(AG$7:AG$17,"D")</f>
        <v>0</v>
      </c>
      <c r="AH35" s="246">
        <f t="shared" si="23"/>
        <v>0</v>
      </c>
      <c r="AI35" s="246">
        <f t="shared" si="23"/>
        <v>0</v>
      </c>
      <c r="AK35" s="245"/>
      <c r="AL35" s="246"/>
      <c r="AM35" s="246"/>
      <c r="AN35" s="246"/>
      <c r="AO35" s="245"/>
      <c r="AP35" s="245"/>
      <c r="AQ35" s="245"/>
      <c r="AR35" s="245"/>
      <c r="AS35" s="245"/>
      <c r="AT35" s="245"/>
      <c r="AU35" s="245"/>
      <c r="AV35" s="245"/>
      <c r="AW35" s="245"/>
      <c r="AX35" s="245"/>
    </row>
    <row r="36" spans="2:50" ht="34.5" customHeight="1">
      <c r="B36" s="398"/>
      <c r="C36" s="402" t="s">
        <v>71</v>
      </c>
      <c r="D36" s="404"/>
      <c r="E36" s="246">
        <f>COUNTIF(E$7:E$17,"夜")</f>
        <v>0</v>
      </c>
      <c r="F36" s="246">
        <f t="shared" ref="F36:AF36" si="24">COUNTIF(F$7:F$17,"夜")</f>
        <v>0</v>
      </c>
      <c r="G36" s="246">
        <f t="shared" si="24"/>
        <v>0</v>
      </c>
      <c r="H36" s="246">
        <f t="shared" si="24"/>
        <v>0</v>
      </c>
      <c r="I36" s="246">
        <f t="shared" si="24"/>
        <v>0</v>
      </c>
      <c r="J36" s="246">
        <f t="shared" si="24"/>
        <v>0</v>
      </c>
      <c r="K36" s="246">
        <f t="shared" si="24"/>
        <v>0</v>
      </c>
      <c r="L36" s="246">
        <f t="shared" si="24"/>
        <v>0</v>
      </c>
      <c r="M36" s="246">
        <f t="shared" si="24"/>
        <v>0</v>
      </c>
      <c r="N36" s="246">
        <f t="shared" si="24"/>
        <v>0</v>
      </c>
      <c r="O36" s="246">
        <f t="shared" si="24"/>
        <v>0</v>
      </c>
      <c r="P36" s="246">
        <f t="shared" si="24"/>
        <v>0</v>
      </c>
      <c r="Q36" s="246">
        <f t="shared" si="24"/>
        <v>0</v>
      </c>
      <c r="R36" s="246">
        <f t="shared" si="24"/>
        <v>0</v>
      </c>
      <c r="S36" s="246">
        <f t="shared" si="24"/>
        <v>0</v>
      </c>
      <c r="T36" s="246">
        <f t="shared" si="24"/>
        <v>0</v>
      </c>
      <c r="U36" s="246">
        <f t="shared" si="24"/>
        <v>0</v>
      </c>
      <c r="V36" s="246">
        <f t="shared" si="24"/>
        <v>0</v>
      </c>
      <c r="W36" s="246">
        <f t="shared" si="24"/>
        <v>0</v>
      </c>
      <c r="X36" s="246">
        <f t="shared" si="24"/>
        <v>0</v>
      </c>
      <c r="Y36" s="246">
        <f t="shared" si="24"/>
        <v>0</v>
      </c>
      <c r="Z36" s="246">
        <f t="shared" si="24"/>
        <v>0</v>
      </c>
      <c r="AA36" s="246">
        <f t="shared" si="24"/>
        <v>0</v>
      </c>
      <c r="AB36" s="246">
        <f t="shared" si="24"/>
        <v>0</v>
      </c>
      <c r="AC36" s="246">
        <f t="shared" si="24"/>
        <v>0</v>
      </c>
      <c r="AD36" s="246">
        <f t="shared" si="24"/>
        <v>0</v>
      </c>
      <c r="AE36" s="246">
        <f t="shared" si="24"/>
        <v>0</v>
      </c>
      <c r="AF36" s="246">
        <f t="shared" si="24"/>
        <v>0</v>
      </c>
      <c r="AG36" s="246">
        <f t="shared" ref="AG36:AI36" si="25">COUNTIF(AG$7:AG$17,"夜")</f>
        <v>0</v>
      </c>
      <c r="AH36" s="246">
        <f t="shared" si="25"/>
        <v>0</v>
      </c>
      <c r="AI36" s="246">
        <f t="shared" si="25"/>
        <v>0</v>
      </c>
      <c r="AL36" s="246"/>
      <c r="AM36" s="246"/>
      <c r="AN36" s="246"/>
    </row>
    <row r="37" spans="2:50" ht="34.5" customHeight="1">
      <c r="B37" s="398"/>
      <c r="C37" s="402" t="s">
        <v>72</v>
      </c>
      <c r="D37" s="404"/>
      <c r="E37" s="246">
        <f>COUNTIF(E$7:E$17,"明")</f>
        <v>0</v>
      </c>
      <c r="F37" s="246">
        <f t="shared" ref="F37:AF37" si="26">COUNTIF(F$7:F$17,"明")</f>
        <v>0</v>
      </c>
      <c r="G37" s="246">
        <f t="shared" si="26"/>
        <v>0</v>
      </c>
      <c r="H37" s="246">
        <f t="shared" si="26"/>
        <v>0</v>
      </c>
      <c r="I37" s="246">
        <f t="shared" si="26"/>
        <v>0</v>
      </c>
      <c r="J37" s="246">
        <f t="shared" si="26"/>
        <v>0</v>
      </c>
      <c r="K37" s="246">
        <f t="shared" si="26"/>
        <v>0</v>
      </c>
      <c r="L37" s="246">
        <f t="shared" si="26"/>
        <v>0</v>
      </c>
      <c r="M37" s="246">
        <f t="shared" si="26"/>
        <v>0</v>
      </c>
      <c r="N37" s="246">
        <f t="shared" si="26"/>
        <v>0</v>
      </c>
      <c r="O37" s="246">
        <f t="shared" si="26"/>
        <v>0</v>
      </c>
      <c r="P37" s="246">
        <f t="shared" si="26"/>
        <v>0</v>
      </c>
      <c r="Q37" s="246">
        <f t="shared" si="26"/>
        <v>0</v>
      </c>
      <c r="R37" s="246">
        <f t="shared" si="26"/>
        <v>0</v>
      </c>
      <c r="S37" s="246">
        <f t="shared" si="26"/>
        <v>0</v>
      </c>
      <c r="T37" s="246">
        <f t="shared" si="26"/>
        <v>0</v>
      </c>
      <c r="U37" s="246">
        <f t="shared" si="26"/>
        <v>0</v>
      </c>
      <c r="V37" s="246">
        <f t="shared" si="26"/>
        <v>0</v>
      </c>
      <c r="W37" s="246">
        <f t="shared" si="26"/>
        <v>0</v>
      </c>
      <c r="X37" s="246">
        <f t="shared" si="26"/>
        <v>0</v>
      </c>
      <c r="Y37" s="246">
        <f t="shared" si="26"/>
        <v>0</v>
      </c>
      <c r="Z37" s="246">
        <f t="shared" si="26"/>
        <v>0</v>
      </c>
      <c r="AA37" s="246">
        <f t="shared" si="26"/>
        <v>0</v>
      </c>
      <c r="AB37" s="246">
        <f t="shared" si="26"/>
        <v>0</v>
      </c>
      <c r="AC37" s="246">
        <f t="shared" si="26"/>
        <v>0</v>
      </c>
      <c r="AD37" s="246">
        <f t="shared" si="26"/>
        <v>0</v>
      </c>
      <c r="AE37" s="246">
        <f t="shared" si="26"/>
        <v>0</v>
      </c>
      <c r="AF37" s="246">
        <f t="shared" si="26"/>
        <v>0</v>
      </c>
      <c r="AG37" s="246">
        <f t="shared" ref="AG37:AI37" si="27">COUNTIF(AG$7:AG$17,"明")</f>
        <v>0</v>
      </c>
      <c r="AH37" s="246">
        <f t="shared" si="27"/>
        <v>0</v>
      </c>
      <c r="AI37" s="246">
        <f t="shared" si="27"/>
        <v>0</v>
      </c>
      <c r="AL37" s="246"/>
      <c r="AM37" s="246"/>
      <c r="AN37" s="246"/>
    </row>
    <row r="38" spans="2:50" ht="34.5" customHeight="1">
      <c r="B38" s="398"/>
      <c r="C38" s="405" t="s">
        <v>47</v>
      </c>
      <c r="D38" s="406"/>
      <c r="E38" s="246">
        <f>SUM(E32:E37)</f>
        <v>0</v>
      </c>
      <c r="F38" s="246">
        <f t="shared" ref="F38:AF38" si="28">SUM(F32:F37)</f>
        <v>0</v>
      </c>
      <c r="G38" s="246">
        <f t="shared" si="28"/>
        <v>0</v>
      </c>
      <c r="H38" s="246">
        <f t="shared" si="28"/>
        <v>0</v>
      </c>
      <c r="I38" s="246">
        <f t="shared" si="28"/>
        <v>0</v>
      </c>
      <c r="J38" s="246">
        <f t="shared" si="28"/>
        <v>0</v>
      </c>
      <c r="K38" s="246">
        <f t="shared" si="28"/>
        <v>0</v>
      </c>
      <c r="L38" s="246">
        <f t="shared" si="28"/>
        <v>0</v>
      </c>
      <c r="M38" s="246">
        <f t="shared" si="28"/>
        <v>0</v>
      </c>
      <c r="N38" s="246">
        <f t="shared" si="28"/>
        <v>0</v>
      </c>
      <c r="O38" s="246">
        <f t="shared" si="28"/>
        <v>0</v>
      </c>
      <c r="P38" s="246">
        <f t="shared" si="28"/>
        <v>0</v>
      </c>
      <c r="Q38" s="246">
        <f t="shared" si="28"/>
        <v>0</v>
      </c>
      <c r="R38" s="246">
        <f t="shared" si="28"/>
        <v>0</v>
      </c>
      <c r="S38" s="246">
        <f t="shared" si="28"/>
        <v>0</v>
      </c>
      <c r="T38" s="246">
        <f t="shared" si="28"/>
        <v>0</v>
      </c>
      <c r="U38" s="246">
        <f t="shared" si="28"/>
        <v>0</v>
      </c>
      <c r="V38" s="246">
        <f t="shared" si="28"/>
        <v>0</v>
      </c>
      <c r="W38" s="246">
        <f t="shared" si="28"/>
        <v>0</v>
      </c>
      <c r="X38" s="246">
        <f t="shared" si="28"/>
        <v>0</v>
      </c>
      <c r="Y38" s="246">
        <f t="shared" si="28"/>
        <v>0</v>
      </c>
      <c r="Z38" s="246">
        <f t="shared" si="28"/>
        <v>0</v>
      </c>
      <c r="AA38" s="246">
        <f t="shared" si="28"/>
        <v>0</v>
      </c>
      <c r="AB38" s="246">
        <f t="shared" si="28"/>
        <v>0</v>
      </c>
      <c r="AC38" s="246">
        <f t="shared" si="28"/>
        <v>0</v>
      </c>
      <c r="AD38" s="246">
        <f t="shared" si="28"/>
        <v>0</v>
      </c>
      <c r="AE38" s="246">
        <f t="shared" si="28"/>
        <v>0</v>
      </c>
      <c r="AF38" s="246">
        <f t="shared" si="28"/>
        <v>0</v>
      </c>
      <c r="AG38" s="246">
        <f t="shared" ref="AG38:AI38" si="29">SUM(AG32:AG37)</f>
        <v>0</v>
      </c>
      <c r="AH38" s="246">
        <f t="shared" si="29"/>
        <v>0</v>
      </c>
      <c r="AI38" s="246">
        <f t="shared" si="29"/>
        <v>0</v>
      </c>
      <c r="AL38" s="246"/>
      <c r="AM38" s="246"/>
      <c r="AN38" s="246"/>
    </row>
    <row r="39" spans="2:50" ht="34.5" customHeight="1">
      <c r="B39" s="398"/>
      <c r="C39" s="405" t="s">
        <v>46</v>
      </c>
      <c r="D39" s="406"/>
      <c r="E39" s="246">
        <f>COUNTIF(E$7:E$17,"休")+COUNTIF(E$7:E$17,"希")+COUNTIF(E$7:E$17,"有")</f>
        <v>0</v>
      </c>
      <c r="F39" s="246">
        <f t="shared" ref="F39:AF39" si="30">COUNTIF(F$7:F$17,"休")+COUNTIF(F$7:F$17,"希")+COUNTIF(F$7:F$17,"有")</f>
        <v>0</v>
      </c>
      <c r="G39" s="246">
        <f t="shared" si="30"/>
        <v>0</v>
      </c>
      <c r="H39" s="246">
        <f t="shared" si="30"/>
        <v>0</v>
      </c>
      <c r="I39" s="246">
        <f t="shared" si="30"/>
        <v>0</v>
      </c>
      <c r="J39" s="246">
        <f t="shared" si="30"/>
        <v>0</v>
      </c>
      <c r="K39" s="246">
        <f t="shared" si="30"/>
        <v>0</v>
      </c>
      <c r="L39" s="246">
        <f t="shared" si="30"/>
        <v>0</v>
      </c>
      <c r="M39" s="246">
        <f t="shared" si="30"/>
        <v>0</v>
      </c>
      <c r="N39" s="246">
        <f t="shared" si="30"/>
        <v>0</v>
      </c>
      <c r="O39" s="246">
        <f t="shared" si="30"/>
        <v>0</v>
      </c>
      <c r="P39" s="246">
        <f t="shared" si="30"/>
        <v>0</v>
      </c>
      <c r="Q39" s="246">
        <f t="shared" si="30"/>
        <v>0</v>
      </c>
      <c r="R39" s="246">
        <f t="shared" si="30"/>
        <v>0</v>
      </c>
      <c r="S39" s="246">
        <f t="shared" si="30"/>
        <v>0</v>
      </c>
      <c r="T39" s="246">
        <f t="shared" si="30"/>
        <v>0</v>
      </c>
      <c r="U39" s="246">
        <f t="shared" si="30"/>
        <v>0</v>
      </c>
      <c r="V39" s="246">
        <f t="shared" si="30"/>
        <v>0</v>
      </c>
      <c r="W39" s="246">
        <f t="shared" si="30"/>
        <v>0</v>
      </c>
      <c r="X39" s="246">
        <f t="shared" si="30"/>
        <v>0</v>
      </c>
      <c r="Y39" s="246">
        <f t="shared" si="30"/>
        <v>0</v>
      </c>
      <c r="Z39" s="246">
        <f t="shared" si="30"/>
        <v>0</v>
      </c>
      <c r="AA39" s="246">
        <f t="shared" si="30"/>
        <v>0</v>
      </c>
      <c r="AB39" s="246">
        <f t="shared" si="30"/>
        <v>0</v>
      </c>
      <c r="AC39" s="246">
        <f t="shared" si="30"/>
        <v>0</v>
      </c>
      <c r="AD39" s="246">
        <f t="shared" si="30"/>
        <v>0</v>
      </c>
      <c r="AE39" s="246">
        <f t="shared" si="30"/>
        <v>0</v>
      </c>
      <c r="AF39" s="246">
        <f t="shared" si="30"/>
        <v>0</v>
      </c>
      <c r="AG39" s="246">
        <f t="shared" ref="AG39:AI39" si="31">COUNTIF(AG$7:AG$17,"休")+COUNTIF(AG$7:AG$17,"希")+COUNTIF(AG$7:AG$17,"有")</f>
        <v>0</v>
      </c>
      <c r="AH39" s="246">
        <f t="shared" si="31"/>
        <v>0</v>
      </c>
      <c r="AI39" s="246">
        <f t="shared" si="31"/>
        <v>0</v>
      </c>
      <c r="AL39" s="246"/>
      <c r="AM39" s="246"/>
      <c r="AN39" s="246"/>
    </row>
    <row r="40" spans="2:50" ht="34.5" customHeight="1" thickBot="1">
      <c r="B40" s="399"/>
      <c r="C40" s="407" t="s">
        <v>40</v>
      </c>
      <c r="D40" s="408"/>
      <c r="E40" s="277" t="str">
        <f>IF(OR(AND(E36&gt;0,E37&gt;0,E33&gt;0,E34&gt;0),AND(E36&gt;0,E37&gt;0,E34&gt;0,E35&gt;0),AND(E36&gt;0,E37&gt;0,E32&gt;0,E34&gt;0)),"成立",IF(OR(AND(E36&gt;0,E37&gt;0,E32&gt;0),AND(E36&gt;0,E37&gt;0,E35&gt;0)),"30分残業","不成立"))</f>
        <v>不成立</v>
      </c>
      <c r="F40" s="277" t="str">
        <f t="shared" ref="F40:AH40" si="32">IF(OR(AND(F36&gt;0,F37&gt;0,F33&gt;0,F34&gt;0),AND(F36&gt;0,F37&gt;0,F34&gt;0,F35&gt;0),AND(F36&gt;0,F37&gt;0,F32&gt;0,F34&gt;0)),"成立",IF(OR(AND(F36&gt;0,F37&gt;0,F32&gt;0),AND(F36&gt;0,F37&gt;0,F35&gt;0)),"30分残業","不成立"))</f>
        <v>不成立</v>
      </c>
      <c r="G40" s="277" t="str">
        <f t="shared" si="32"/>
        <v>不成立</v>
      </c>
      <c r="H40" s="277" t="str">
        <f t="shared" si="32"/>
        <v>不成立</v>
      </c>
      <c r="I40" s="277" t="str">
        <f t="shared" si="32"/>
        <v>不成立</v>
      </c>
      <c r="J40" s="277" t="str">
        <f t="shared" si="32"/>
        <v>不成立</v>
      </c>
      <c r="K40" s="277" t="str">
        <f t="shared" si="32"/>
        <v>不成立</v>
      </c>
      <c r="L40" s="277" t="str">
        <f t="shared" si="32"/>
        <v>不成立</v>
      </c>
      <c r="M40" s="277" t="str">
        <f t="shared" si="32"/>
        <v>不成立</v>
      </c>
      <c r="N40" s="277" t="str">
        <f t="shared" si="32"/>
        <v>不成立</v>
      </c>
      <c r="O40" s="277" t="str">
        <f t="shared" si="32"/>
        <v>不成立</v>
      </c>
      <c r="P40" s="277" t="str">
        <f t="shared" si="32"/>
        <v>不成立</v>
      </c>
      <c r="Q40" s="277" t="str">
        <f t="shared" si="32"/>
        <v>不成立</v>
      </c>
      <c r="R40" s="277" t="str">
        <f t="shared" si="32"/>
        <v>不成立</v>
      </c>
      <c r="S40" s="277" t="str">
        <f t="shared" si="32"/>
        <v>不成立</v>
      </c>
      <c r="T40" s="277" t="str">
        <f t="shared" si="32"/>
        <v>不成立</v>
      </c>
      <c r="U40" s="277" t="str">
        <f t="shared" si="32"/>
        <v>不成立</v>
      </c>
      <c r="V40" s="277" t="str">
        <f t="shared" si="32"/>
        <v>不成立</v>
      </c>
      <c r="W40" s="277" t="str">
        <f t="shared" si="32"/>
        <v>不成立</v>
      </c>
      <c r="X40" s="277" t="str">
        <f t="shared" si="32"/>
        <v>不成立</v>
      </c>
      <c r="Y40" s="277" t="str">
        <f t="shared" si="32"/>
        <v>不成立</v>
      </c>
      <c r="Z40" s="277" t="str">
        <f t="shared" si="32"/>
        <v>不成立</v>
      </c>
      <c r="AA40" s="277" t="str">
        <f t="shared" si="32"/>
        <v>不成立</v>
      </c>
      <c r="AB40" s="277" t="str">
        <f t="shared" si="32"/>
        <v>不成立</v>
      </c>
      <c r="AC40" s="277" t="str">
        <f t="shared" si="32"/>
        <v>不成立</v>
      </c>
      <c r="AD40" s="277" t="str">
        <f t="shared" si="32"/>
        <v>不成立</v>
      </c>
      <c r="AE40" s="277" t="str">
        <f t="shared" si="32"/>
        <v>不成立</v>
      </c>
      <c r="AF40" s="277" t="str">
        <f t="shared" si="32"/>
        <v>不成立</v>
      </c>
      <c r="AG40" s="277" t="str">
        <f t="shared" si="32"/>
        <v>不成立</v>
      </c>
      <c r="AH40" s="277" t="str">
        <f t="shared" si="32"/>
        <v>不成立</v>
      </c>
      <c r="AI40" s="248" t="str">
        <f t="shared" ref="AI40" si="33">IF(OR(AND(AI36&gt;0,AI37&gt;0,AI33&gt;0,AI34&gt;0),AND(AI36&gt;0,AI37&gt;0,AI34&gt;0,AI35&gt;0)),"成立",IF(OR(AND(AI36&gt;0,AI37&gt;0,AI32&gt;0,AI34&gt;0),AND(AI36&gt;0,AI37&gt;0,AI32&gt;0),AND(AI36&gt;0,AI37&gt;0,AI35&gt;0)),"30分残業","不成立"))</f>
        <v>不成立</v>
      </c>
      <c r="AL40" s="246"/>
      <c r="AM40" s="246"/>
      <c r="AN40" s="246"/>
    </row>
    <row r="41" spans="2:50" ht="25.5" customHeight="1">
      <c r="B41" s="177"/>
      <c r="C41" s="177"/>
      <c r="D41" s="177"/>
      <c r="E41" s="242"/>
      <c r="F41" s="243"/>
      <c r="G41" s="242"/>
      <c r="H41" s="242"/>
      <c r="I41" s="242"/>
      <c r="J41" s="242"/>
      <c r="K41" s="177"/>
      <c r="L41" s="177"/>
      <c r="M41" s="177"/>
      <c r="N41" s="177"/>
      <c r="O41" s="177"/>
      <c r="P41" s="177"/>
      <c r="Q41" s="177"/>
      <c r="R41" s="177"/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  <c r="AH41" s="177"/>
      <c r="AI41" s="177"/>
    </row>
    <row r="42" spans="2:50" ht="36" customHeight="1" thickBot="1"/>
    <row r="43" spans="2:50" ht="35.25" customHeight="1">
      <c r="B43" s="391" t="s">
        <v>51</v>
      </c>
      <c r="C43" s="400" t="s">
        <v>69</v>
      </c>
      <c r="D43" s="401"/>
      <c r="E43" s="246">
        <f>COUNTIF(E$6:E$21,"A")</f>
        <v>0</v>
      </c>
      <c r="F43" s="246">
        <f t="shared" ref="F43:AI43" si="34">COUNTIF(F$6:F$21,"A")</f>
        <v>0</v>
      </c>
      <c r="G43" s="246">
        <f t="shared" si="34"/>
        <v>0</v>
      </c>
      <c r="H43" s="246">
        <f t="shared" si="34"/>
        <v>0</v>
      </c>
      <c r="I43" s="246">
        <f t="shared" si="34"/>
        <v>0</v>
      </c>
      <c r="J43" s="246">
        <f t="shared" si="34"/>
        <v>0</v>
      </c>
      <c r="K43" s="246">
        <f t="shared" si="34"/>
        <v>0</v>
      </c>
      <c r="L43" s="246">
        <f t="shared" si="34"/>
        <v>0</v>
      </c>
      <c r="M43" s="246">
        <f t="shared" si="34"/>
        <v>0</v>
      </c>
      <c r="N43" s="246">
        <f t="shared" si="34"/>
        <v>0</v>
      </c>
      <c r="O43" s="246">
        <f t="shared" si="34"/>
        <v>0</v>
      </c>
      <c r="P43" s="246">
        <f t="shared" si="34"/>
        <v>0</v>
      </c>
      <c r="Q43" s="246">
        <f t="shared" si="34"/>
        <v>0</v>
      </c>
      <c r="R43" s="246">
        <f t="shared" si="34"/>
        <v>0</v>
      </c>
      <c r="S43" s="246">
        <f t="shared" si="34"/>
        <v>0</v>
      </c>
      <c r="T43" s="246">
        <f t="shared" si="34"/>
        <v>0</v>
      </c>
      <c r="U43" s="246">
        <f t="shared" si="34"/>
        <v>0</v>
      </c>
      <c r="V43" s="246">
        <f t="shared" si="34"/>
        <v>0</v>
      </c>
      <c r="W43" s="246">
        <f t="shared" si="34"/>
        <v>0</v>
      </c>
      <c r="X43" s="246">
        <f t="shared" si="34"/>
        <v>0</v>
      </c>
      <c r="Y43" s="246">
        <f t="shared" si="34"/>
        <v>0</v>
      </c>
      <c r="Z43" s="246">
        <f t="shared" si="34"/>
        <v>0</v>
      </c>
      <c r="AA43" s="246">
        <f t="shared" si="34"/>
        <v>0</v>
      </c>
      <c r="AB43" s="246">
        <f t="shared" si="34"/>
        <v>0</v>
      </c>
      <c r="AC43" s="246">
        <f t="shared" si="34"/>
        <v>0</v>
      </c>
      <c r="AD43" s="246">
        <f t="shared" si="34"/>
        <v>0</v>
      </c>
      <c r="AE43" s="246">
        <f t="shared" si="34"/>
        <v>0</v>
      </c>
      <c r="AF43" s="246">
        <f t="shared" si="34"/>
        <v>0</v>
      </c>
      <c r="AG43" s="246">
        <f t="shared" si="34"/>
        <v>0</v>
      </c>
      <c r="AH43" s="246">
        <f t="shared" si="34"/>
        <v>0</v>
      </c>
      <c r="AI43" s="246">
        <f t="shared" si="34"/>
        <v>0</v>
      </c>
    </row>
    <row r="44" spans="2:50" ht="39.75" customHeight="1">
      <c r="B44" s="392"/>
      <c r="C44" s="402" t="s">
        <v>37</v>
      </c>
      <c r="D44" s="403"/>
      <c r="E44" s="246">
        <f>COUNTIF(E$6:E$21,"B")</f>
        <v>0</v>
      </c>
      <c r="F44" s="246">
        <f t="shared" ref="F44:AI44" si="35">COUNTIF(F$6:F$21,"B")</f>
        <v>0</v>
      </c>
      <c r="G44" s="246">
        <f t="shared" si="35"/>
        <v>0</v>
      </c>
      <c r="H44" s="246">
        <f t="shared" si="35"/>
        <v>0</v>
      </c>
      <c r="I44" s="246">
        <f t="shared" si="35"/>
        <v>0</v>
      </c>
      <c r="J44" s="246">
        <f t="shared" si="35"/>
        <v>0</v>
      </c>
      <c r="K44" s="246">
        <f t="shared" si="35"/>
        <v>0</v>
      </c>
      <c r="L44" s="246">
        <f t="shared" si="35"/>
        <v>0</v>
      </c>
      <c r="M44" s="246">
        <f t="shared" si="35"/>
        <v>0</v>
      </c>
      <c r="N44" s="246">
        <f t="shared" si="35"/>
        <v>0</v>
      </c>
      <c r="O44" s="246">
        <f t="shared" si="35"/>
        <v>0</v>
      </c>
      <c r="P44" s="246">
        <f t="shared" si="35"/>
        <v>0</v>
      </c>
      <c r="Q44" s="246">
        <f t="shared" si="35"/>
        <v>0</v>
      </c>
      <c r="R44" s="246">
        <f t="shared" si="35"/>
        <v>0</v>
      </c>
      <c r="S44" s="246">
        <f t="shared" si="35"/>
        <v>0</v>
      </c>
      <c r="T44" s="246">
        <f t="shared" si="35"/>
        <v>0</v>
      </c>
      <c r="U44" s="246">
        <f t="shared" si="35"/>
        <v>0</v>
      </c>
      <c r="V44" s="246">
        <f t="shared" si="35"/>
        <v>0</v>
      </c>
      <c r="W44" s="246">
        <f t="shared" si="35"/>
        <v>0</v>
      </c>
      <c r="X44" s="246">
        <f t="shared" si="35"/>
        <v>0</v>
      </c>
      <c r="Y44" s="246">
        <f t="shared" si="35"/>
        <v>0</v>
      </c>
      <c r="Z44" s="246">
        <f t="shared" si="35"/>
        <v>0</v>
      </c>
      <c r="AA44" s="246">
        <f t="shared" si="35"/>
        <v>0</v>
      </c>
      <c r="AB44" s="246">
        <f t="shared" si="35"/>
        <v>0</v>
      </c>
      <c r="AC44" s="246">
        <f t="shared" si="35"/>
        <v>0</v>
      </c>
      <c r="AD44" s="246">
        <f t="shared" si="35"/>
        <v>0</v>
      </c>
      <c r="AE44" s="246">
        <f t="shared" si="35"/>
        <v>0</v>
      </c>
      <c r="AF44" s="246">
        <f t="shared" si="35"/>
        <v>0</v>
      </c>
      <c r="AG44" s="246">
        <f t="shared" si="35"/>
        <v>0</v>
      </c>
      <c r="AH44" s="246">
        <f t="shared" si="35"/>
        <v>0</v>
      </c>
      <c r="AI44" s="246">
        <f t="shared" si="35"/>
        <v>0</v>
      </c>
    </row>
    <row r="45" spans="2:50" ht="29.25" customHeight="1">
      <c r="B45" s="392"/>
      <c r="C45" s="402" t="s">
        <v>75</v>
      </c>
      <c r="D45" s="403"/>
      <c r="E45" s="246">
        <f>COUNTIF(E$6:E$21,"C")</f>
        <v>0</v>
      </c>
      <c r="F45" s="246">
        <f t="shared" ref="F45:AI45" si="36">COUNTIF(F$6:F$21,"C")</f>
        <v>0</v>
      </c>
      <c r="G45" s="246">
        <f t="shared" si="36"/>
        <v>0</v>
      </c>
      <c r="H45" s="246">
        <f t="shared" si="36"/>
        <v>0</v>
      </c>
      <c r="I45" s="246">
        <f t="shared" si="36"/>
        <v>0</v>
      </c>
      <c r="J45" s="246">
        <f t="shared" si="36"/>
        <v>0</v>
      </c>
      <c r="K45" s="246">
        <f t="shared" si="36"/>
        <v>0</v>
      </c>
      <c r="L45" s="246">
        <f t="shared" si="36"/>
        <v>0</v>
      </c>
      <c r="M45" s="246">
        <f t="shared" si="36"/>
        <v>0</v>
      </c>
      <c r="N45" s="246">
        <f t="shared" si="36"/>
        <v>0</v>
      </c>
      <c r="O45" s="246">
        <f t="shared" si="36"/>
        <v>0</v>
      </c>
      <c r="P45" s="246">
        <f t="shared" si="36"/>
        <v>0</v>
      </c>
      <c r="Q45" s="246">
        <f t="shared" si="36"/>
        <v>0</v>
      </c>
      <c r="R45" s="246">
        <f t="shared" si="36"/>
        <v>0</v>
      </c>
      <c r="S45" s="246">
        <f t="shared" si="36"/>
        <v>0</v>
      </c>
      <c r="T45" s="246">
        <f t="shared" si="36"/>
        <v>0</v>
      </c>
      <c r="U45" s="246">
        <f t="shared" si="36"/>
        <v>0</v>
      </c>
      <c r="V45" s="246">
        <f t="shared" si="36"/>
        <v>0</v>
      </c>
      <c r="W45" s="246">
        <f t="shared" si="36"/>
        <v>0</v>
      </c>
      <c r="X45" s="246">
        <f t="shared" si="36"/>
        <v>0</v>
      </c>
      <c r="Y45" s="246">
        <f t="shared" si="36"/>
        <v>0</v>
      </c>
      <c r="Z45" s="246">
        <f t="shared" si="36"/>
        <v>0</v>
      </c>
      <c r="AA45" s="246">
        <f t="shared" si="36"/>
        <v>0</v>
      </c>
      <c r="AB45" s="246">
        <f t="shared" si="36"/>
        <v>0</v>
      </c>
      <c r="AC45" s="246">
        <f t="shared" si="36"/>
        <v>0</v>
      </c>
      <c r="AD45" s="246">
        <f t="shared" si="36"/>
        <v>0</v>
      </c>
      <c r="AE45" s="246">
        <f t="shared" si="36"/>
        <v>0</v>
      </c>
      <c r="AF45" s="246">
        <f t="shared" si="36"/>
        <v>0</v>
      </c>
      <c r="AG45" s="246">
        <f t="shared" si="36"/>
        <v>0</v>
      </c>
      <c r="AH45" s="246">
        <f t="shared" si="36"/>
        <v>0</v>
      </c>
      <c r="AI45" s="246">
        <f t="shared" si="36"/>
        <v>0</v>
      </c>
    </row>
    <row r="46" spans="2:50" ht="29.25" customHeight="1">
      <c r="B46" s="392"/>
      <c r="C46" s="402" t="s">
        <v>70</v>
      </c>
      <c r="D46" s="403"/>
      <c r="E46" s="246">
        <f>COUNTIF(E$6:E$21,"D")</f>
        <v>0</v>
      </c>
      <c r="F46" s="246">
        <f t="shared" ref="F46:AI46" si="37">COUNTIF(F$6:F$21,"D")</f>
        <v>0</v>
      </c>
      <c r="G46" s="246">
        <f t="shared" si="37"/>
        <v>0</v>
      </c>
      <c r="H46" s="246">
        <f t="shared" si="37"/>
        <v>0</v>
      </c>
      <c r="I46" s="246">
        <f t="shared" si="37"/>
        <v>0</v>
      </c>
      <c r="J46" s="246">
        <f t="shared" si="37"/>
        <v>0</v>
      </c>
      <c r="K46" s="246">
        <f t="shared" si="37"/>
        <v>0</v>
      </c>
      <c r="L46" s="246">
        <f t="shared" si="37"/>
        <v>0</v>
      </c>
      <c r="M46" s="246">
        <f t="shared" si="37"/>
        <v>0</v>
      </c>
      <c r="N46" s="246">
        <f t="shared" si="37"/>
        <v>0</v>
      </c>
      <c r="O46" s="246">
        <f t="shared" si="37"/>
        <v>0</v>
      </c>
      <c r="P46" s="246">
        <f t="shared" si="37"/>
        <v>0</v>
      </c>
      <c r="Q46" s="246">
        <f t="shared" si="37"/>
        <v>0</v>
      </c>
      <c r="R46" s="246">
        <f t="shared" si="37"/>
        <v>0</v>
      </c>
      <c r="S46" s="246">
        <f t="shared" si="37"/>
        <v>0</v>
      </c>
      <c r="T46" s="246">
        <f t="shared" si="37"/>
        <v>0</v>
      </c>
      <c r="U46" s="246">
        <f t="shared" si="37"/>
        <v>0</v>
      </c>
      <c r="V46" s="246">
        <f t="shared" si="37"/>
        <v>0</v>
      </c>
      <c r="W46" s="246">
        <f t="shared" si="37"/>
        <v>0</v>
      </c>
      <c r="X46" s="246">
        <f t="shared" si="37"/>
        <v>0</v>
      </c>
      <c r="Y46" s="246">
        <f t="shared" si="37"/>
        <v>0</v>
      </c>
      <c r="Z46" s="246">
        <f t="shared" si="37"/>
        <v>0</v>
      </c>
      <c r="AA46" s="246">
        <f t="shared" si="37"/>
        <v>0</v>
      </c>
      <c r="AB46" s="246">
        <f t="shared" si="37"/>
        <v>0</v>
      </c>
      <c r="AC46" s="246">
        <f t="shared" si="37"/>
        <v>0</v>
      </c>
      <c r="AD46" s="246">
        <f t="shared" si="37"/>
        <v>0</v>
      </c>
      <c r="AE46" s="246">
        <f t="shared" si="37"/>
        <v>0</v>
      </c>
      <c r="AF46" s="246">
        <f t="shared" si="37"/>
        <v>0</v>
      </c>
      <c r="AG46" s="246">
        <f t="shared" si="37"/>
        <v>0</v>
      </c>
      <c r="AH46" s="246">
        <f t="shared" si="37"/>
        <v>0</v>
      </c>
      <c r="AI46" s="246">
        <f t="shared" si="37"/>
        <v>0</v>
      </c>
    </row>
    <row r="47" spans="2:50" ht="29.25" customHeight="1">
      <c r="B47" s="392"/>
      <c r="C47" s="402" t="s">
        <v>55</v>
      </c>
      <c r="D47" s="404"/>
      <c r="E47" s="246">
        <f>COUNTIF(E$6:E$21,"E")</f>
        <v>0</v>
      </c>
      <c r="F47" s="246">
        <f t="shared" ref="F47:AI47" si="38">COUNTIF(F$6:F$21,"E")</f>
        <v>0</v>
      </c>
      <c r="G47" s="246">
        <f t="shared" si="38"/>
        <v>0</v>
      </c>
      <c r="H47" s="246">
        <f t="shared" si="38"/>
        <v>0</v>
      </c>
      <c r="I47" s="246">
        <f t="shared" si="38"/>
        <v>0</v>
      </c>
      <c r="J47" s="246">
        <f t="shared" si="38"/>
        <v>0</v>
      </c>
      <c r="K47" s="246">
        <f t="shared" si="38"/>
        <v>0</v>
      </c>
      <c r="L47" s="246">
        <f t="shared" si="38"/>
        <v>0</v>
      </c>
      <c r="M47" s="246">
        <f t="shared" si="38"/>
        <v>0</v>
      </c>
      <c r="N47" s="246">
        <f t="shared" si="38"/>
        <v>0</v>
      </c>
      <c r="O47" s="246">
        <f t="shared" si="38"/>
        <v>0</v>
      </c>
      <c r="P47" s="246">
        <f t="shared" si="38"/>
        <v>0</v>
      </c>
      <c r="Q47" s="246">
        <f t="shared" si="38"/>
        <v>0</v>
      </c>
      <c r="R47" s="246">
        <f t="shared" si="38"/>
        <v>0</v>
      </c>
      <c r="S47" s="246">
        <f t="shared" si="38"/>
        <v>0</v>
      </c>
      <c r="T47" s="246">
        <f t="shared" si="38"/>
        <v>0</v>
      </c>
      <c r="U47" s="246">
        <f t="shared" si="38"/>
        <v>0</v>
      </c>
      <c r="V47" s="246">
        <f t="shared" si="38"/>
        <v>0</v>
      </c>
      <c r="W47" s="246">
        <f t="shared" si="38"/>
        <v>0</v>
      </c>
      <c r="X47" s="246">
        <f t="shared" si="38"/>
        <v>0</v>
      </c>
      <c r="Y47" s="246">
        <f t="shared" si="38"/>
        <v>0</v>
      </c>
      <c r="Z47" s="246">
        <f t="shared" si="38"/>
        <v>0</v>
      </c>
      <c r="AA47" s="246">
        <f t="shared" si="38"/>
        <v>0</v>
      </c>
      <c r="AB47" s="246">
        <f t="shared" si="38"/>
        <v>0</v>
      </c>
      <c r="AC47" s="246">
        <f t="shared" si="38"/>
        <v>0</v>
      </c>
      <c r="AD47" s="246">
        <f t="shared" si="38"/>
        <v>0</v>
      </c>
      <c r="AE47" s="246">
        <f t="shared" si="38"/>
        <v>0</v>
      </c>
      <c r="AF47" s="246">
        <f t="shared" si="38"/>
        <v>0</v>
      </c>
      <c r="AG47" s="246">
        <f t="shared" si="38"/>
        <v>0</v>
      </c>
      <c r="AH47" s="246">
        <f t="shared" si="38"/>
        <v>0</v>
      </c>
      <c r="AI47" s="246">
        <f t="shared" si="38"/>
        <v>0</v>
      </c>
    </row>
    <row r="48" spans="2:50" ht="29.25" customHeight="1">
      <c r="B48" s="392"/>
      <c r="C48" s="402" t="s">
        <v>71</v>
      </c>
      <c r="D48" s="404"/>
      <c r="E48" s="246">
        <f>COUNTIF(E$6:E$21,"夜")</f>
        <v>0</v>
      </c>
      <c r="F48" s="246">
        <f t="shared" ref="F48:AI48" si="39">COUNTIF(F$6:F$21,"夜")</f>
        <v>0</v>
      </c>
      <c r="G48" s="246">
        <f t="shared" si="39"/>
        <v>0</v>
      </c>
      <c r="H48" s="246">
        <f t="shared" si="39"/>
        <v>0</v>
      </c>
      <c r="I48" s="246">
        <f t="shared" si="39"/>
        <v>0</v>
      </c>
      <c r="J48" s="246">
        <f t="shared" si="39"/>
        <v>0</v>
      </c>
      <c r="K48" s="246">
        <f t="shared" si="39"/>
        <v>0</v>
      </c>
      <c r="L48" s="246">
        <f t="shared" si="39"/>
        <v>0</v>
      </c>
      <c r="M48" s="246">
        <f t="shared" si="39"/>
        <v>0</v>
      </c>
      <c r="N48" s="246">
        <f t="shared" si="39"/>
        <v>0</v>
      </c>
      <c r="O48" s="246">
        <f t="shared" si="39"/>
        <v>0</v>
      </c>
      <c r="P48" s="246">
        <f t="shared" si="39"/>
        <v>0</v>
      </c>
      <c r="Q48" s="246">
        <f t="shared" si="39"/>
        <v>0</v>
      </c>
      <c r="R48" s="246">
        <f t="shared" si="39"/>
        <v>0</v>
      </c>
      <c r="S48" s="246">
        <f t="shared" si="39"/>
        <v>0</v>
      </c>
      <c r="T48" s="246">
        <f t="shared" si="39"/>
        <v>0</v>
      </c>
      <c r="U48" s="246">
        <f t="shared" si="39"/>
        <v>0</v>
      </c>
      <c r="V48" s="246">
        <f t="shared" si="39"/>
        <v>0</v>
      </c>
      <c r="W48" s="246">
        <f t="shared" si="39"/>
        <v>0</v>
      </c>
      <c r="X48" s="246">
        <f t="shared" si="39"/>
        <v>0</v>
      </c>
      <c r="Y48" s="246">
        <f t="shared" si="39"/>
        <v>0</v>
      </c>
      <c r="Z48" s="246">
        <f t="shared" si="39"/>
        <v>0</v>
      </c>
      <c r="AA48" s="246">
        <f t="shared" si="39"/>
        <v>0</v>
      </c>
      <c r="AB48" s="246">
        <f t="shared" si="39"/>
        <v>0</v>
      </c>
      <c r="AC48" s="246">
        <f t="shared" si="39"/>
        <v>0</v>
      </c>
      <c r="AD48" s="246">
        <f t="shared" si="39"/>
        <v>0</v>
      </c>
      <c r="AE48" s="246">
        <f t="shared" si="39"/>
        <v>0</v>
      </c>
      <c r="AF48" s="246">
        <f t="shared" si="39"/>
        <v>0</v>
      </c>
      <c r="AG48" s="246">
        <f t="shared" si="39"/>
        <v>0</v>
      </c>
      <c r="AH48" s="246">
        <f t="shared" si="39"/>
        <v>0</v>
      </c>
      <c r="AI48" s="246">
        <f t="shared" si="39"/>
        <v>0</v>
      </c>
    </row>
    <row r="49" spans="2:35" ht="29.25" customHeight="1">
      <c r="B49" s="392"/>
      <c r="C49" s="402" t="s">
        <v>72</v>
      </c>
      <c r="D49" s="404"/>
      <c r="E49" s="246">
        <f>COUNTIF(E$6:E$21,"明")</f>
        <v>0</v>
      </c>
      <c r="F49" s="246">
        <f t="shared" ref="F49:AI49" si="40">COUNTIF(F$6:F$21,"明")</f>
        <v>0</v>
      </c>
      <c r="G49" s="246">
        <f t="shared" si="40"/>
        <v>0</v>
      </c>
      <c r="H49" s="246">
        <f t="shared" si="40"/>
        <v>0</v>
      </c>
      <c r="I49" s="246">
        <f t="shared" si="40"/>
        <v>0</v>
      </c>
      <c r="J49" s="246">
        <f t="shared" si="40"/>
        <v>0</v>
      </c>
      <c r="K49" s="246">
        <f t="shared" si="40"/>
        <v>0</v>
      </c>
      <c r="L49" s="246">
        <f t="shared" si="40"/>
        <v>0</v>
      </c>
      <c r="M49" s="246">
        <f t="shared" si="40"/>
        <v>0</v>
      </c>
      <c r="N49" s="246">
        <f t="shared" si="40"/>
        <v>0</v>
      </c>
      <c r="O49" s="246">
        <f t="shared" si="40"/>
        <v>0</v>
      </c>
      <c r="P49" s="246">
        <f t="shared" si="40"/>
        <v>0</v>
      </c>
      <c r="Q49" s="246">
        <f t="shared" si="40"/>
        <v>0</v>
      </c>
      <c r="R49" s="246">
        <f t="shared" si="40"/>
        <v>0</v>
      </c>
      <c r="S49" s="246">
        <f t="shared" si="40"/>
        <v>0</v>
      </c>
      <c r="T49" s="246">
        <f t="shared" si="40"/>
        <v>0</v>
      </c>
      <c r="U49" s="246">
        <f t="shared" si="40"/>
        <v>0</v>
      </c>
      <c r="V49" s="246">
        <f t="shared" si="40"/>
        <v>0</v>
      </c>
      <c r="W49" s="246">
        <f t="shared" si="40"/>
        <v>0</v>
      </c>
      <c r="X49" s="246">
        <f t="shared" si="40"/>
        <v>0</v>
      </c>
      <c r="Y49" s="246">
        <f t="shared" si="40"/>
        <v>0</v>
      </c>
      <c r="Z49" s="246">
        <f t="shared" si="40"/>
        <v>0</v>
      </c>
      <c r="AA49" s="246">
        <f t="shared" si="40"/>
        <v>0</v>
      </c>
      <c r="AB49" s="246">
        <f t="shared" si="40"/>
        <v>0</v>
      </c>
      <c r="AC49" s="246">
        <f t="shared" si="40"/>
        <v>0</v>
      </c>
      <c r="AD49" s="246">
        <f t="shared" si="40"/>
        <v>0</v>
      </c>
      <c r="AE49" s="246">
        <f t="shared" si="40"/>
        <v>0</v>
      </c>
      <c r="AF49" s="246">
        <f t="shared" si="40"/>
        <v>0</v>
      </c>
      <c r="AG49" s="246">
        <f t="shared" si="40"/>
        <v>0</v>
      </c>
      <c r="AH49" s="246">
        <f t="shared" si="40"/>
        <v>0</v>
      </c>
      <c r="AI49" s="246">
        <f t="shared" si="40"/>
        <v>0</v>
      </c>
    </row>
    <row r="50" spans="2:35" ht="29.25" customHeight="1">
      <c r="B50" s="392"/>
      <c r="C50" s="405" t="s">
        <v>47</v>
      </c>
      <c r="D50" s="406"/>
      <c r="E50" s="246">
        <f>SUM(E43:E49)</f>
        <v>0</v>
      </c>
      <c r="F50" s="246">
        <f t="shared" ref="F50:AI50" si="41">SUM(F43:F49)</f>
        <v>0</v>
      </c>
      <c r="G50" s="246">
        <f t="shared" si="41"/>
        <v>0</v>
      </c>
      <c r="H50" s="246">
        <f t="shared" si="41"/>
        <v>0</v>
      </c>
      <c r="I50" s="246">
        <f t="shared" si="41"/>
        <v>0</v>
      </c>
      <c r="J50" s="246">
        <f t="shared" si="41"/>
        <v>0</v>
      </c>
      <c r="K50" s="246">
        <f t="shared" si="41"/>
        <v>0</v>
      </c>
      <c r="L50" s="246">
        <f t="shared" si="41"/>
        <v>0</v>
      </c>
      <c r="M50" s="246">
        <f t="shared" si="41"/>
        <v>0</v>
      </c>
      <c r="N50" s="246">
        <f t="shared" si="41"/>
        <v>0</v>
      </c>
      <c r="O50" s="246">
        <f t="shared" si="41"/>
        <v>0</v>
      </c>
      <c r="P50" s="246">
        <f t="shared" si="41"/>
        <v>0</v>
      </c>
      <c r="Q50" s="246">
        <f t="shared" si="41"/>
        <v>0</v>
      </c>
      <c r="R50" s="246">
        <f t="shared" si="41"/>
        <v>0</v>
      </c>
      <c r="S50" s="246">
        <f t="shared" si="41"/>
        <v>0</v>
      </c>
      <c r="T50" s="246">
        <f t="shared" si="41"/>
        <v>0</v>
      </c>
      <c r="U50" s="246">
        <f t="shared" si="41"/>
        <v>0</v>
      </c>
      <c r="V50" s="246">
        <f t="shared" si="41"/>
        <v>0</v>
      </c>
      <c r="W50" s="246">
        <f t="shared" si="41"/>
        <v>0</v>
      </c>
      <c r="X50" s="246">
        <f t="shared" si="41"/>
        <v>0</v>
      </c>
      <c r="Y50" s="246">
        <f t="shared" si="41"/>
        <v>0</v>
      </c>
      <c r="Z50" s="246">
        <f t="shared" si="41"/>
        <v>0</v>
      </c>
      <c r="AA50" s="246">
        <f t="shared" si="41"/>
        <v>0</v>
      </c>
      <c r="AB50" s="246">
        <f t="shared" si="41"/>
        <v>0</v>
      </c>
      <c r="AC50" s="246">
        <f t="shared" si="41"/>
        <v>0</v>
      </c>
      <c r="AD50" s="246">
        <f t="shared" si="41"/>
        <v>0</v>
      </c>
      <c r="AE50" s="246">
        <f t="shared" si="41"/>
        <v>0</v>
      </c>
      <c r="AF50" s="246">
        <f t="shared" si="41"/>
        <v>0</v>
      </c>
      <c r="AG50" s="246">
        <f t="shared" si="41"/>
        <v>0</v>
      </c>
      <c r="AH50" s="246">
        <f t="shared" si="41"/>
        <v>0</v>
      </c>
      <c r="AI50" s="246">
        <f t="shared" si="41"/>
        <v>0</v>
      </c>
    </row>
    <row r="51" spans="2:35" ht="29.25" customHeight="1">
      <c r="B51" s="392"/>
      <c r="C51" s="405" t="s">
        <v>46</v>
      </c>
      <c r="D51" s="406"/>
      <c r="E51" s="246">
        <f>COUNTIF(E$6:E$21,"休")+COUNTIF(E$6:E$21,"希")+COUNTIF(E$6:E$21,"有")</f>
        <v>0</v>
      </c>
      <c r="F51" s="246">
        <f t="shared" ref="F51:AI51" si="42">COUNTIF(F$6:F$21,"休")+COUNTIF(F$6:F$21,"希")+COUNTIF(F$6:F$21,"有")</f>
        <v>0</v>
      </c>
      <c r="G51" s="246">
        <f t="shared" si="42"/>
        <v>0</v>
      </c>
      <c r="H51" s="246">
        <f t="shared" si="42"/>
        <v>0</v>
      </c>
      <c r="I51" s="246">
        <f t="shared" si="42"/>
        <v>0</v>
      </c>
      <c r="J51" s="246">
        <f t="shared" si="42"/>
        <v>0</v>
      </c>
      <c r="K51" s="246">
        <f t="shared" si="42"/>
        <v>0</v>
      </c>
      <c r="L51" s="246">
        <f t="shared" si="42"/>
        <v>0</v>
      </c>
      <c r="M51" s="246">
        <f t="shared" si="42"/>
        <v>0</v>
      </c>
      <c r="N51" s="246">
        <f t="shared" si="42"/>
        <v>0</v>
      </c>
      <c r="O51" s="246">
        <f t="shared" si="42"/>
        <v>0</v>
      </c>
      <c r="P51" s="246">
        <f t="shared" si="42"/>
        <v>0</v>
      </c>
      <c r="Q51" s="246">
        <f t="shared" si="42"/>
        <v>0</v>
      </c>
      <c r="R51" s="246">
        <f t="shared" si="42"/>
        <v>0</v>
      </c>
      <c r="S51" s="246">
        <f t="shared" si="42"/>
        <v>0</v>
      </c>
      <c r="T51" s="246">
        <f t="shared" si="42"/>
        <v>0</v>
      </c>
      <c r="U51" s="246">
        <f t="shared" si="42"/>
        <v>0</v>
      </c>
      <c r="V51" s="246">
        <f t="shared" si="42"/>
        <v>0</v>
      </c>
      <c r="W51" s="246">
        <f t="shared" si="42"/>
        <v>0</v>
      </c>
      <c r="X51" s="246">
        <f t="shared" si="42"/>
        <v>0</v>
      </c>
      <c r="Y51" s="246">
        <f t="shared" si="42"/>
        <v>0</v>
      </c>
      <c r="Z51" s="246">
        <f t="shared" si="42"/>
        <v>0</v>
      </c>
      <c r="AA51" s="246">
        <f t="shared" si="42"/>
        <v>0</v>
      </c>
      <c r="AB51" s="246">
        <f t="shared" si="42"/>
        <v>0</v>
      </c>
      <c r="AC51" s="246">
        <f t="shared" si="42"/>
        <v>0</v>
      </c>
      <c r="AD51" s="246">
        <f t="shared" si="42"/>
        <v>0</v>
      </c>
      <c r="AE51" s="246">
        <f t="shared" si="42"/>
        <v>0</v>
      </c>
      <c r="AF51" s="246">
        <f t="shared" si="42"/>
        <v>0</v>
      </c>
      <c r="AG51" s="246">
        <f t="shared" si="42"/>
        <v>0</v>
      </c>
      <c r="AH51" s="246">
        <f t="shared" si="42"/>
        <v>0</v>
      </c>
      <c r="AI51" s="246">
        <f t="shared" si="42"/>
        <v>0</v>
      </c>
    </row>
    <row r="52" spans="2:35" ht="29.25" customHeight="1" thickBot="1">
      <c r="B52" s="393"/>
      <c r="C52" s="407" t="s">
        <v>40</v>
      </c>
      <c r="D52" s="408"/>
      <c r="E52" s="249" t="str">
        <f>IF(AND(E43&gt;=1,E44&gt;=1,E45&gt;=1,E46&gt;=1,E48&gt;=1,E49&gt;=1),"成立",IF(AND(E48&gt;=1,E49&gt;=1,E44&gt;=1,E45&gt;=1,E46&gt;=1),"条件付","不成立"))</f>
        <v>不成立</v>
      </c>
      <c r="F52" s="249" t="str">
        <f t="shared" ref="F52:AI52" si="43">IF(AND(F43&gt;=1,F44&gt;=1,F45&gt;=1,F46&gt;=1,F48&gt;=1,F49&gt;=1),"成立",IF(AND(F48&gt;=1,F49&gt;=1,F44&gt;=1,F45&gt;=1,F46&gt;=1),"条件付","不成立"))</f>
        <v>不成立</v>
      </c>
      <c r="G52" s="249" t="str">
        <f t="shared" si="43"/>
        <v>不成立</v>
      </c>
      <c r="H52" s="249" t="str">
        <f t="shared" si="43"/>
        <v>不成立</v>
      </c>
      <c r="I52" s="249" t="str">
        <f t="shared" si="43"/>
        <v>不成立</v>
      </c>
      <c r="J52" s="249" t="str">
        <f t="shared" si="43"/>
        <v>不成立</v>
      </c>
      <c r="K52" s="249" t="str">
        <f t="shared" si="43"/>
        <v>不成立</v>
      </c>
      <c r="L52" s="249" t="str">
        <f t="shared" si="43"/>
        <v>不成立</v>
      </c>
      <c r="M52" s="249" t="str">
        <f t="shared" si="43"/>
        <v>不成立</v>
      </c>
      <c r="N52" s="249" t="str">
        <f t="shared" si="43"/>
        <v>不成立</v>
      </c>
      <c r="O52" s="249" t="str">
        <f t="shared" si="43"/>
        <v>不成立</v>
      </c>
      <c r="P52" s="249" t="str">
        <f t="shared" si="43"/>
        <v>不成立</v>
      </c>
      <c r="Q52" s="249" t="str">
        <f t="shared" si="43"/>
        <v>不成立</v>
      </c>
      <c r="R52" s="249" t="str">
        <f t="shared" si="43"/>
        <v>不成立</v>
      </c>
      <c r="S52" s="249" t="str">
        <f t="shared" si="43"/>
        <v>不成立</v>
      </c>
      <c r="T52" s="249" t="str">
        <f t="shared" si="43"/>
        <v>不成立</v>
      </c>
      <c r="U52" s="249" t="str">
        <f t="shared" si="43"/>
        <v>不成立</v>
      </c>
      <c r="V52" s="249" t="str">
        <f t="shared" si="43"/>
        <v>不成立</v>
      </c>
      <c r="W52" s="249" t="str">
        <f t="shared" si="43"/>
        <v>不成立</v>
      </c>
      <c r="X52" s="249" t="str">
        <f t="shared" si="43"/>
        <v>不成立</v>
      </c>
      <c r="Y52" s="249" t="str">
        <f t="shared" si="43"/>
        <v>不成立</v>
      </c>
      <c r="Z52" s="249" t="str">
        <f t="shared" si="43"/>
        <v>不成立</v>
      </c>
      <c r="AA52" s="249" t="str">
        <f t="shared" si="43"/>
        <v>不成立</v>
      </c>
      <c r="AB52" s="249" t="str">
        <f t="shared" si="43"/>
        <v>不成立</v>
      </c>
      <c r="AC52" s="249" t="str">
        <f t="shared" si="43"/>
        <v>不成立</v>
      </c>
      <c r="AD52" s="249" t="str">
        <f t="shared" si="43"/>
        <v>不成立</v>
      </c>
      <c r="AE52" s="249" t="str">
        <f t="shared" si="43"/>
        <v>不成立</v>
      </c>
      <c r="AF52" s="249" t="str">
        <f t="shared" si="43"/>
        <v>不成立</v>
      </c>
      <c r="AG52" s="249" t="str">
        <f t="shared" si="43"/>
        <v>不成立</v>
      </c>
      <c r="AH52" s="249" t="str">
        <f t="shared" si="43"/>
        <v>不成立</v>
      </c>
      <c r="AI52" s="249" t="str">
        <f t="shared" si="43"/>
        <v>不成立</v>
      </c>
    </row>
    <row r="53" spans="2:35" ht="29.25" customHeight="1"/>
    <row r="54" spans="2:35" ht="29.25" customHeight="1"/>
    <row r="55" spans="2:35" ht="29.25" customHeight="1"/>
    <row r="56" spans="2:35" ht="29.25" customHeight="1"/>
    <row r="57" spans="2:35" ht="29.25" customHeight="1"/>
    <row r="58" spans="2:35" ht="29.25" customHeight="1"/>
    <row r="59" spans="2:35" ht="29.25" customHeight="1"/>
    <row r="60" spans="2:35" ht="29.25" customHeight="1"/>
    <row r="61" spans="2:35" ht="29.25" customHeight="1"/>
    <row r="62" spans="2:35" ht="29.25" customHeight="1"/>
    <row r="63" spans="2:35" ht="29.25" customHeight="1"/>
    <row r="64" spans="2:35" ht="29.25" customHeight="1"/>
    <row r="65" ht="29.25" customHeight="1"/>
    <row r="66" ht="29.25" customHeight="1"/>
    <row r="67" ht="29.25" customHeight="1"/>
    <row r="68" ht="29.25" customHeight="1"/>
    <row r="69" ht="29.25" customHeight="1"/>
    <row r="70" ht="29.25" customHeight="1"/>
    <row r="71" ht="29.25" customHeight="1"/>
    <row r="72" ht="29.25" customHeight="1"/>
    <row r="73" ht="29.25" customHeight="1"/>
    <row r="74" ht="29.25" customHeight="1"/>
    <row r="75" ht="29.25" customHeight="1"/>
    <row r="76" ht="29.25" customHeight="1"/>
    <row r="77" ht="29.25" customHeight="1"/>
    <row r="78" ht="29.25" customHeight="1"/>
    <row r="79" ht="29.25" customHeight="1"/>
    <row r="80" ht="29.25" customHeight="1"/>
    <row r="81" ht="29.25" customHeight="1"/>
    <row r="82" ht="29.25" customHeight="1"/>
    <row r="83" ht="29.25" customHeight="1"/>
    <row r="84" ht="29.25" customHeight="1"/>
    <row r="85" ht="29.25" customHeight="1"/>
    <row r="86" ht="29.25" customHeight="1"/>
    <row r="87" ht="29.25" customHeight="1"/>
    <row r="88" ht="29.25" customHeight="1"/>
    <row r="89" ht="29.25" customHeight="1"/>
    <row r="90" ht="29.25" customHeight="1"/>
    <row r="91" ht="29.25" customHeight="1"/>
    <row r="92" ht="29.25" customHeight="1"/>
    <row r="93" ht="29.25" customHeight="1"/>
    <row r="94" ht="29.25" customHeight="1"/>
    <row r="95" ht="29.25" customHeight="1"/>
    <row r="96" ht="29.25" customHeight="1"/>
    <row r="97" ht="29.25" customHeight="1"/>
    <row r="98" ht="29.25" customHeight="1"/>
    <row r="99" ht="29.25" customHeight="1"/>
    <row r="100" ht="29.25" customHeight="1"/>
    <row r="101" ht="29.25" customHeight="1"/>
    <row r="102" ht="29.25" customHeight="1"/>
    <row r="103" ht="29.25" customHeight="1"/>
    <row r="104" ht="29.25" customHeight="1"/>
    <row r="105" ht="29.25" customHeight="1"/>
    <row r="106" ht="29.25" customHeight="1"/>
    <row r="107" ht="29.25" customHeight="1"/>
    <row r="108" ht="29.25" customHeight="1"/>
    <row r="109" ht="29.25" customHeight="1"/>
  </sheetData>
  <mergeCells count="25">
    <mergeCell ref="C49:D49"/>
    <mergeCell ref="C50:D50"/>
    <mergeCell ref="C51:D51"/>
    <mergeCell ref="C52:D52"/>
    <mergeCell ref="C44:D44"/>
    <mergeCell ref="C45:D45"/>
    <mergeCell ref="C46:D46"/>
    <mergeCell ref="C47:D47"/>
    <mergeCell ref="C48:D48"/>
    <mergeCell ref="B43:B52"/>
    <mergeCell ref="E2:H2"/>
    <mergeCell ref="J2:M2"/>
    <mergeCell ref="AB3:AI3"/>
    <mergeCell ref="B4:D5"/>
    <mergeCell ref="B32:B40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3:D43"/>
  </mergeCells>
  <phoneticPr fontId="1"/>
  <conditionalFormatting sqref="E8">
    <cfRule type="containsText" dxfId="557" priority="206" operator="containsText" text="B">
      <formula>NOT(ISERROR(SEARCH("B",E8)))</formula>
    </cfRule>
    <cfRule type="containsText" dxfId="556" priority="194" operator="containsText" text="A">
      <formula>NOT(ISERROR(SEARCH("A",E8)))</formula>
    </cfRule>
    <cfRule type="containsText" dxfId="555" priority="195" operator="containsText" text="E">
      <formula>NOT(ISERROR(SEARCH("E",E8)))</formula>
    </cfRule>
    <cfRule type="containsText" dxfId="554" priority="196" operator="containsText" text="研">
      <formula>NOT(ISERROR(SEARCH("研",E8)))</formula>
    </cfRule>
    <cfRule type="containsText" dxfId="553" priority="197" operator="containsText" text="希">
      <formula>NOT(ISERROR(SEARCH("希",E8)))</formula>
    </cfRule>
    <cfRule type="containsText" dxfId="552" priority="198" operator="containsText" text="休">
      <formula>NOT(ISERROR(SEARCH("休",E8)))</formula>
    </cfRule>
    <cfRule type="containsText" dxfId="551" priority="199" operator="containsText" text="正">
      <formula>NOT(ISERROR(SEARCH("正",E8)))</formula>
    </cfRule>
    <cfRule type="containsText" dxfId="550" priority="200" operator="containsText" text="有">
      <formula>NOT(ISERROR(SEARCH("有",E8)))</formula>
    </cfRule>
    <cfRule type="containsText" dxfId="549" priority="201" operator="containsText" text="調">
      <formula>NOT(ISERROR(SEARCH("調",E8)))</formula>
    </cfRule>
    <cfRule type="containsText" dxfId="548" priority="202" operator="containsText" text="明">
      <formula>NOT(ISERROR(SEARCH("明",E8)))</formula>
    </cfRule>
    <cfRule type="containsText" dxfId="547" priority="203" operator="containsText" text="夜">
      <formula>NOT(ISERROR(SEARCH("夜",E8)))</formula>
    </cfRule>
    <cfRule type="containsText" dxfId="546" priority="204" operator="containsText" text="C">
      <formula>NOT(ISERROR(SEARCH("C",E8)))</formula>
    </cfRule>
    <cfRule type="containsText" dxfId="545" priority="205" operator="containsText" text="D">
      <formula>NOT(ISERROR(SEARCH("D",E8)))</formula>
    </cfRule>
  </conditionalFormatting>
  <conditionalFormatting sqref="E12:E13">
    <cfRule type="containsText" dxfId="544" priority="149" operator="containsText" text="E">
      <formula>NOT(ISERROR(SEARCH("E",E12)))</formula>
    </cfRule>
    <cfRule type="containsText" dxfId="543" priority="148" operator="containsText" text="A">
      <formula>NOT(ISERROR(SEARCH("A",E12)))</formula>
    </cfRule>
    <cfRule type="containsText" dxfId="542" priority="150" operator="containsText" text="研">
      <formula>NOT(ISERROR(SEARCH("研",E12)))</formula>
    </cfRule>
    <cfRule type="containsText" dxfId="541" priority="151" operator="containsText" text="希">
      <formula>NOT(ISERROR(SEARCH("希",E12)))</formula>
    </cfRule>
    <cfRule type="containsText" dxfId="540" priority="152" operator="containsText" text="休">
      <formula>NOT(ISERROR(SEARCH("休",E12)))</formula>
    </cfRule>
    <cfRule type="containsText" dxfId="539" priority="153" operator="containsText" text="正">
      <formula>NOT(ISERROR(SEARCH("正",E12)))</formula>
    </cfRule>
    <cfRule type="containsText" dxfId="538" priority="154" operator="containsText" text="有">
      <formula>NOT(ISERROR(SEARCH("有",E12)))</formula>
    </cfRule>
    <cfRule type="containsText" dxfId="537" priority="155" operator="containsText" text="調">
      <formula>NOT(ISERROR(SEARCH("調",E12)))</formula>
    </cfRule>
    <cfRule type="containsText" dxfId="536" priority="156" operator="containsText" text="明">
      <formula>NOT(ISERROR(SEARCH("明",E12)))</formula>
    </cfRule>
    <cfRule type="containsText" dxfId="535" priority="157" operator="containsText" text="夜">
      <formula>NOT(ISERROR(SEARCH("夜",E12)))</formula>
    </cfRule>
    <cfRule type="containsText" dxfId="534" priority="158" operator="containsText" text="C">
      <formula>NOT(ISERROR(SEARCH("C",E12)))</formula>
    </cfRule>
    <cfRule type="containsText" dxfId="533" priority="159" operator="containsText" text="D">
      <formula>NOT(ISERROR(SEARCH("D",E12)))</formula>
    </cfRule>
    <cfRule type="containsText" dxfId="532" priority="160" operator="containsText" text="B">
      <formula>NOT(ISERROR(SEARCH("B",E12)))</formula>
    </cfRule>
  </conditionalFormatting>
  <conditionalFormatting sqref="E9:G9">
    <cfRule type="containsText" dxfId="531" priority="215" operator="containsText" text="明">
      <formula>NOT(ISERROR(SEARCH("明",E9)))</formula>
    </cfRule>
    <cfRule type="containsText" dxfId="530" priority="210" operator="containsText" text="希">
      <formula>NOT(ISERROR(SEARCH("希",E9)))</formula>
    </cfRule>
    <cfRule type="containsText" dxfId="529" priority="212" operator="containsText" text="正">
      <formula>NOT(ISERROR(SEARCH("正",E9)))</formula>
    </cfRule>
    <cfRule type="containsText" dxfId="528" priority="213" operator="containsText" text="有">
      <formula>NOT(ISERROR(SEARCH("有",E9)))</formula>
    </cfRule>
    <cfRule type="containsText" dxfId="527" priority="214" operator="containsText" text="調">
      <formula>NOT(ISERROR(SEARCH("調",E9)))</formula>
    </cfRule>
    <cfRule type="containsText" dxfId="526" priority="216" operator="containsText" text="夜">
      <formula>NOT(ISERROR(SEARCH("夜",E9)))</formula>
    </cfRule>
    <cfRule type="containsText" dxfId="525" priority="217" operator="containsText" text="C">
      <formula>NOT(ISERROR(SEARCH("C",E9)))</formula>
    </cfRule>
    <cfRule type="containsText" dxfId="524" priority="218" operator="containsText" text="D">
      <formula>NOT(ISERROR(SEARCH("D",E9)))</formula>
    </cfRule>
    <cfRule type="containsText" dxfId="523" priority="219" operator="containsText" text="B">
      <formula>NOT(ISERROR(SEARCH("B",E9)))</formula>
    </cfRule>
    <cfRule type="containsText" dxfId="522" priority="209" operator="containsText" text="研">
      <formula>NOT(ISERROR(SEARCH("研",E9)))</formula>
    </cfRule>
    <cfRule type="containsText" dxfId="521" priority="208" operator="containsText" text="E">
      <formula>NOT(ISERROR(SEARCH("E",E9)))</formula>
    </cfRule>
    <cfRule type="containsText" dxfId="520" priority="207" operator="containsText" text="A">
      <formula>NOT(ISERROR(SEARCH("A",E9)))</formula>
    </cfRule>
    <cfRule type="containsText" dxfId="519" priority="211" operator="containsText" text="休">
      <formula>NOT(ISERROR(SEARCH("休",E9)))</formula>
    </cfRule>
  </conditionalFormatting>
  <conditionalFormatting sqref="E11:AH11">
    <cfRule type="containsText" dxfId="518" priority="423" operator="containsText" text="正">
      <formula>NOT(ISERROR(SEARCH("正",E11)))</formula>
    </cfRule>
    <cfRule type="containsText" dxfId="517" priority="424" operator="containsText" text="有">
      <formula>NOT(ISERROR(SEARCH("有",E11)))</formula>
    </cfRule>
    <cfRule type="containsText" dxfId="516" priority="425" operator="containsText" text="調">
      <formula>NOT(ISERROR(SEARCH("調",E11)))</formula>
    </cfRule>
    <cfRule type="containsText" dxfId="515" priority="426" operator="containsText" text="明">
      <formula>NOT(ISERROR(SEARCH("明",E11)))</formula>
    </cfRule>
    <cfRule type="containsText" dxfId="514" priority="427" operator="containsText" text="夜">
      <formula>NOT(ISERROR(SEARCH("夜",E11)))</formula>
    </cfRule>
    <cfRule type="containsText" dxfId="513" priority="428" operator="containsText" text="C">
      <formula>NOT(ISERROR(SEARCH("C",E11)))</formula>
    </cfRule>
    <cfRule type="containsText" dxfId="512" priority="429" operator="containsText" text="D">
      <formula>NOT(ISERROR(SEARCH("D",E11)))</formula>
    </cfRule>
    <cfRule type="containsText" dxfId="511" priority="430" operator="containsText" text="B">
      <formula>NOT(ISERROR(SEARCH("B",E11)))</formula>
    </cfRule>
    <cfRule type="containsText" dxfId="510" priority="420" operator="containsText" text="研">
      <formula>NOT(ISERROR(SEARCH("研",E11)))</formula>
    </cfRule>
    <cfRule type="containsText" dxfId="509" priority="421" operator="containsText" text="希">
      <formula>NOT(ISERROR(SEARCH("希",E11)))</formula>
    </cfRule>
    <cfRule type="containsText" dxfId="508" priority="422" operator="containsText" text="休">
      <formula>NOT(ISERROR(SEARCH("休",E11)))</formula>
    </cfRule>
    <cfRule type="containsText" dxfId="507" priority="418" operator="containsText" text="A">
      <formula>NOT(ISERROR(SEARCH("A",E11)))</formula>
    </cfRule>
    <cfRule type="containsText" dxfId="506" priority="419" operator="containsText" text="E">
      <formula>NOT(ISERROR(SEARCH("E",E11)))</formula>
    </cfRule>
  </conditionalFormatting>
  <conditionalFormatting sqref="E40:AH40">
    <cfRule type="containsText" dxfId="505" priority="2" operator="containsText" text="不成立">
      <formula>NOT(ISERROR(SEARCH("不成立",E40)))</formula>
    </cfRule>
    <cfRule type="containsText" dxfId="504" priority="1" operator="containsText" text="30分残業">
      <formula>NOT(ISERROR(SEARCH("30分残業",E40)))</formula>
    </cfRule>
  </conditionalFormatting>
  <conditionalFormatting sqref="E5:AI5">
    <cfRule type="containsText" dxfId="503" priority="548" operator="containsText" text="土">
      <formula>NOT(ISERROR(SEARCH("土",E5)))</formula>
    </cfRule>
    <cfRule type="containsText" dxfId="502" priority="549" operator="containsText" text="日">
      <formula>NOT(ISERROR(SEARCH("日",E5)))</formula>
    </cfRule>
  </conditionalFormatting>
  <conditionalFormatting sqref="E6:AI6">
    <cfRule type="containsText" dxfId="501" priority="506" operator="containsText" text="C">
      <formula>NOT(ISERROR(SEARCH("C",E6)))</formula>
    </cfRule>
    <cfRule type="containsText" dxfId="500" priority="505" operator="containsText" text="夜">
      <formula>NOT(ISERROR(SEARCH("夜",E6)))</formula>
    </cfRule>
    <cfRule type="containsText" dxfId="499" priority="507" operator="containsText" text="D">
      <formula>NOT(ISERROR(SEARCH("D",E6)))</formula>
    </cfRule>
    <cfRule type="containsText" dxfId="498" priority="497" operator="containsText" text="E">
      <formula>NOT(ISERROR(SEARCH("E",E6)))</formula>
    </cfRule>
    <cfRule type="containsText" dxfId="497" priority="498" operator="containsText" text="研">
      <formula>NOT(ISERROR(SEARCH("研",E6)))</formula>
    </cfRule>
    <cfRule type="containsText" dxfId="496" priority="499" operator="containsText" text="希">
      <formula>NOT(ISERROR(SEARCH("希",E6)))</formula>
    </cfRule>
    <cfRule type="containsText" dxfId="495" priority="500" operator="containsText" text="休">
      <formula>NOT(ISERROR(SEARCH("休",E6)))</formula>
    </cfRule>
    <cfRule type="containsText" dxfId="494" priority="508" operator="containsText" text="B">
      <formula>NOT(ISERROR(SEARCH("B",E6)))</formula>
    </cfRule>
    <cfRule type="containsText" dxfId="493" priority="501" operator="containsText" text="正">
      <formula>NOT(ISERROR(SEARCH("正",E6)))</formula>
    </cfRule>
    <cfRule type="containsText" dxfId="492" priority="502" operator="containsText" text="有">
      <formula>NOT(ISERROR(SEARCH("有",E6)))</formula>
    </cfRule>
    <cfRule type="containsText" dxfId="491" priority="503" operator="containsText" text="調">
      <formula>NOT(ISERROR(SEARCH("調",E6)))</formula>
    </cfRule>
    <cfRule type="containsText" dxfId="490" priority="504" operator="containsText" text="明">
      <formula>NOT(ISERROR(SEARCH("明",E6)))</formula>
    </cfRule>
  </conditionalFormatting>
  <conditionalFormatting sqref="E6:AI7">
    <cfRule type="containsText" dxfId="489" priority="364" operator="containsText" text="A">
      <formula>NOT(ISERROR(SEARCH("A",E6)))</formula>
    </cfRule>
  </conditionalFormatting>
  <conditionalFormatting sqref="E7:AI7">
    <cfRule type="containsText" dxfId="488" priority="374" operator="containsText" text="D">
      <formula>NOT(ISERROR(SEARCH("D",E7)))</formula>
    </cfRule>
    <cfRule type="containsText" dxfId="487" priority="373" operator="containsText" text="C">
      <formula>NOT(ISERROR(SEARCH("C",E7)))</formula>
    </cfRule>
    <cfRule type="containsText" dxfId="486" priority="372" operator="containsText" text="夜">
      <formula>NOT(ISERROR(SEARCH("夜",E7)))</formula>
    </cfRule>
    <cfRule type="containsText" dxfId="485" priority="371" operator="containsText" text="明">
      <formula>NOT(ISERROR(SEARCH("明",E7)))</formula>
    </cfRule>
    <cfRule type="containsText" dxfId="484" priority="363" operator="containsText" text="E">
      <formula>NOT(ISERROR(SEARCH("E",E7)))</formula>
    </cfRule>
    <cfRule type="containsText" dxfId="483" priority="370" operator="containsText" text="調">
      <formula>NOT(ISERROR(SEARCH("調",E7)))</formula>
    </cfRule>
    <cfRule type="containsText" dxfId="482" priority="369" operator="containsText" text="有">
      <formula>NOT(ISERROR(SEARCH("有",E7)))</formula>
    </cfRule>
    <cfRule type="containsText" dxfId="481" priority="368" operator="containsText" text="正">
      <formula>NOT(ISERROR(SEARCH("正",E7)))</formula>
    </cfRule>
    <cfRule type="containsText" dxfId="480" priority="367" operator="containsText" text="休">
      <formula>NOT(ISERROR(SEARCH("休",E7)))</formula>
    </cfRule>
    <cfRule type="containsText" dxfId="479" priority="366" operator="containsText" text="希">
      <formula>NOT(ISERROR(SEARCH("希",E7)))</formula>
    </cfRule>
    <cfRule type="containsText" dxfId="478" priority="365" operator="containsText" text="研">
      <formula>NOT(ISERROR(SEARCH("研",E7)))</formula>
    </cfRule>
    <cfRule type="containsText" dxfId="477" priority="375" operator="containsText" text="B">
      <formula>NOT(ISERROR(SEARCH("B",E7)))</formula>
    </cfRule>
  </conditionalFormatting>
  <conditionalFormatting sqref="E8:AI10">
    <cfRule type="containsText" dxfId="476" priority="182" operator="containsText" text="有">
      <formula>NOT(ISERROR(SEARCH("有",E8)))</formula>
    </cfRule>
    <cfRule type="containsText" dxfId="475" priority="176" operator="containsText" text="E">
      <formula>NOT(ISERROR(SEARCH("E",E8)))</formula>
    </cfRule>
    <cfRule type="containsText" dxfId="474" priority="177" operator="containsText" text="A">
      <formula>NOT(ISERROR(SEARCH("A",E8)))</formula>
    </cfRule>
    <cfRule type="containsText" dxfId="473" priority="178" operator="containsText" text="研">
      <formula>NOT(ISERROR(SEARCH("研",E8)))</formula>
    </cfRule>
    <cfRule type="containsText" dxfId="472" priority="179" operator="containsText" text="希">
      <formula>NOT(ISERROR(SEARCH("希",E8)))</formula>
    </cfRule>
    <cfRule type="containsText" dxfId="471" priority="180" operator="containsText" text="休">
      <formula>NOT(ISERROR(SEARCH("休",E8)))</formula>
    </cfRule>
    <cfRule type="containsText" dxfId="470" priority="181" operator="containsText" text="正">
      <formula>NOT(ISERROR(SEARCH("正",E8)))</formula>
    </cfRule>
    <cfRule type="containsText" dxfId="469" priority="183" operator="containsText" text="調">
      <formula>NOT(ISERROR(SEARCH("調",E8)))</formula>
    </cfRule>
    <cfRule type="containsText" dxfId="468" priority="185" operator="containsText" text="夜">
      <formula>NOT(ISERROR(SEARCH("夜",E8)))</formula>
    </cfRule>
    <cfRule type="containsText" dxfId="467" priority="186" operator="containsText" text="C">
      <formula>NOT(ISERROR(SEARCH("C",E8)))</formula>
    </cfRule>
    <cfRule type="containsText" dxfId="466" priority="187" operator="containsText" text="D">
      <formula>NOT(ISERROR(SEARCH("D",E8)))</formula>
    </cfRule>
    <cfRule type="containsText" dxfId="465" priority="188" operator="containsText" text="B">
      <formula>NOT(ISERROR(SEARCH("B",E8)))</formula>
    </cfRule>
    <cfRule type="containsText" dxfId="464" priority="184" operator="containsText" text="明">
      <formula>NOT(ISERROR(SEARCH("明",E8)))</formula>
    </cfRule>
  </conditionalFormatting>
  <conditionalFormatting sqref="E12:AI17">
    <cfRule type="containsText" dxfId="463" priority="135" operator="containsText" text="E">
      <formula>NOT(ISERROR(SEARCH("E",E12)))</formula>
    </cfRule>
    <cfRule type="containsText" dxfId="462" priority="147" operator="containsText" text="B">
      <formula>NOT(ISERROR(SEARCH("B",E12)))</formula>
    </cfRule>
    <cfRule type="containsText" dxfId="461" priority="146" operator="containsText" text="D">
      <formula>NOT(ISERROR(SEARCH("D",E12)))</formula>
    </cfRule>
    <cfRule type="containsText" dxfId="460" priority="145" operator="containsText" text="C">
      <formula>NOT(ISERROR(SEARCH("C",E12)))</formula>
    </cfRule>
    <cfRule type="containsText" dxfId="459" priority="144" operator="containsText" text="夜">
      <formula>NOT(ISERROR(SEARCH("夜",E12)))</formula>
    </cfRule>
    <cfRule type="containsText" dxfId="458" priority="143" operator="containsText" text="明">
      <formula>NOT(ISERROR(SEARCH("明",E12)))</formula>
    </cfRule>
    <cfRule type="containsText" dxfId="457" priority="142" operator="containsText" text="調">
      <formula>NOT(ISERROR(SEARCH("調",E12)))</formula>
    </cfRule>
    <cfRule type="containsText" dxfId="456" priority="141" operator="containsText" text="有">
      <formula>NOT(ISERROR(SEARCH("有",E12)))</formula>
    </cfRule>
    <cfRule type="containsText" dxfId="455" priority="140" operator="containsText" text="正">
      <formula>NOT(ISERROR(SEARCH("正",E12)))</formula>
    </cfRule>
    <cfRule type="containsText" dxfId="454" priority="139" operator="containsText" text="休">
      <formula>NOT(ISERROR(SEARCH("休",E12)))</formula>
    </cfRule>
    <cfRule type="containsText" dxfId="453" priority="138" operator="containsText" text="希">
      <formula>NOT(ISERROR(SEARCH("希",E12)))</formula>
    </cfRule>
    <cfRule type="containsText" dxfId="452" priority="137" operator="containsText" text="研">
      <formula>NOT(ISERROR(SEARCH("研",E12)))</formula>
    </cfRule>
  </conditionalFormatting>
  <conditionalFormatting sqref="E12:AI22">
    <cfRule type="containsText" dxfId="451" priority="123" operator="containsText" text="A">
      <formula>NOT(ISERROR(SEARCH("A",E12)))</formula>
    </cfRule>
  </conditionalFormatting>
  <conditionalFormatting sqref="E18:AI18">
    <cfRule type="containsText" dxfId="450" priority="559" operator="containsText" text="B">
      <formula>NOT(ISERROR(SEARCH("B",E18)))</formula>
    </cfRule>
    <cfRule type="containsText" dxfId="449" priority="547" operator="containsText" text="研">
      <formula>NOT(ISERROR(SEARCH("研",E18)))</formula>
    </cfRule>
    <cfRule type="containsText" dxfId="448" priority="552" operator="containsText" text="正">
      <formula>NOT(ISERROR(SEARCH("正",E18)))</formula>
    </cfRule>
    <cfRule type="containsText" dxfId="447" priority="550" operator="containsText" text="希">
      <formula>NOT(ISERROR(SEARCH("希",E18)))</formula>
    </cfRule>
    <cfRule type="containsText" dxfId="446" priority="556" operator="containsText" text="夜">
      <formula>NOT(ISERROR(SEARCH("夜",E18)))</formula>
    </cfRule>
    <cfRule type="containsText" dxfId="445" priority="555" operator="containsText" text="明">
      <formula>NOT(ISERROR(SEARCH("明",E18)))</formula>
    </cfRule>
    <cfRule type="containsText" dxfId="444" priority="554" operator="containsText" text="調">
      <formula>NOT(ISERROR(SEARCH("調",E18)))</formula>
    </cfRule>
    <cfRule type="containsText" dxfId="443" priority="553" operator="containsText" text="有">
      <formula>NOT(ISERROR(SEARCH("有",E18)))</formula>
    </cfRule>
    <cfRule type="containsText" dxfId="442" priority="551" operator="containsText" text="休">
      <formula>NOT(ISERROR(SEARCH("休",E18)))</formula>
    </cfRule>
    <cfRule type="containsText" dxfId="441" priority="557" operator="containsText" text="C">
      <formula>NOT(ISERROR(SEARCH("C",E18)))</formula>
    </cfRule>
    <cfRule type="containsText" dxfId="440" priority="546" operator="containsText" text="E">
      <formula>NOT(ISERROR(SEARCH("E",E18)))</formula>
    </cfRule>
    <cfRule type="containsText" dxfId="439" priority="558" operator="containsText" text="D">
      <formula>NOT(ISERROR(SEARCH("D",E18)))</formula>
    </cfRule>
  </conditionalFormatting>
  <conditionalFormatting sqref="E19:AI22">
    <cfRule type="containsText" dxfId="438" priority="122" operator="containsText" text="E">
      <formula>NOT(ISERROR(SEARCH("E",E19)))</formula>
    </cfRule>
    <cfRule type="containsText" dxfId="437" priority="124" operator="containsText" text="研">
      <formula>NOT(ISERROR(SEARCH("研",E19)))</formula>
    </cfRule>
    <cfRule type="containsText" dxfId="436" priority="125" operator="containsText" text="希">
      <formula>NOT(ISERROR(SEARCH("希",E19)))</formula>
    </cfRule>
    <cfRule type="containsText" dxfId="435" priority="126" operator="containsText" text="休">
      <formula>NOT(ISERROR(SEARCH("休",E19)))</formula>
    </cfRule>
    <cfRule type="containsText" dxfId="434" priority="127" operator="containsText" text="正">
      <formula>NOT(ISERROR(SEARCH("正",E19)))</formula>
    </cfRule>
    <cfRule type="containsText" dxfId="433" priority="128" operator="containsText" text="有">
      <formula>NOT(ISERROR(SEARCH("有",E19)))</formula>
    </cfRule>
    <cfRule type="containsText" dxfId="432" priority="129" operator="containsText" text="調">
      <formula>NOT(ISERROR(SEARCH("調",E19)))</formula>
    </cfRule>
    <cfRule type="containsText" dxfId="431" priority="130" operator="containsText" text="明">
      <formula>NOT(ISERROR(SEARCH("明",E19)))</formula>
    </cfRule>
    <cfRule type="containsText" dxfId="430" priority="131" operator="containsText" text="夜">
      <formula>NOT(ISERROR(SEARCH("夜",E19)))</formula>
    </cfRule>
    <cfRule type="containsText" dxfId="429" priority="132" operator="containsText" text="C">
      <formula>NOT(ISERROR(SEARCH("C",E19)))</formula>
    </cfRule>
    <cfRule type="containsText" dxfId="428" priority="133" operator="containsText" text="D">
      <formula>NOT(ISERROR(SEARCH("D",E19)))</formula>
    </cfRule>
    <cfRule type="containsText" dxfId="427" priority="134" operator="containsText" text="B">
      <formula>NOT(ISERROR(SEARCH("B",E19)))</formula>
    </cfRule>
  </conditionalFormatting>
  <conditionalFormatting sqref="E32:AI37">
    <cfRule type="cellIs" dxfId="426" priority="409" operator="equal">
      <formula>0</formula>
    </cfRule>
  </conditionalFormatting>
  <conditionalFormatting sqref="E39:AI39">
    <cfRule type="cellIs" dxfId="425" priority="408" operator="equal">
      <formula>0</formula>
    </cfRule>
  </conditionalFormatting>
  <conditionalFormatting sqref="E43:AI50">
    <cfRule type="cellIs" dxfId="424" priority="405" operator="equal">
      <formula>0</formula>
    </cfRule>
  </conditionalFormatting>
  <conditionalFormatting sqref="E52:AI52">
    <cfRule type="cellIs" dxfId="423" priority="404" operator="equal">
      <formula>0</formula>
    </cfRule>
    <cfRule type="containsText" dxfId="422" priority="403" stopIfTrue="1" operator="containsText" text="不成立">
      <formula>NOT(ISERROR(SEARCH("不成立",E52)))</formula>
    </cfRule>
    <cfRule type="containsText" dxfId="421" priority="402" operator="containsText" text="条件付">
      <formula>NOT(ISERROR(SEARCH("条件付",E52)))</formula>
    </cfRule>
  </conditionalFormatting>
  <conditionalFormatting sqref="F25">
    <cfRule type="containsText" dxfId="420" priority="111" operator="containsText" text="研">
      <formula>NOT(ISERROR(SEARCH("研",F25)))</formula>
    </cfRule>
    <cfRule type="containsText" dxfId="419" priority="109" operator="containsText" text="A">
      <formula>NOT(ISERROR(SEARCH("A",F25)))</formula>
    </cfRule>
    <cfRule type="containsText" dxfId="418" priority="108" operator="containsText" text="E">
      <formula>NOT(ISERROR(SEARCH("E",F25)))</formula>
    </cfRule>
    <cfRule type="containsText" dxfId="417" priority="110" operator="containsText" text="E">
      <formula>NOT(ISERROR(SEARCH("E",F25)))</formula>
    </cfRule>
    <cfRule type="containsText" dxfId="416" priority="121" operator="containsText" text="B">
      <formula>NOT(ISERROR(SEARCH("B",F25)))</formula>
    </cfRule>
    <cfRule type="containsText" dxfId="415" priority="120" operator="containsText" text="D">
      <formula>NOT(ISERROR(SEARCH("D",F25)))</formula>
    </cfRule>
    <cfRule type="containsText" dxfId="414" priority="119" operator="containsText" text="C">
      <formula>NOT(ISERROR(SEARCH("C",F25)))</formula>
    </cfRule>
    <cfRule type="containsText" dxfId="413" priority="118" operator="containsText" text="夜">
      <formula>NOT(ISERROR(SEARCH("夜",F25)))</formula>
    </cfRule>
    <cfRule type="containsText" dxfId="412" priority="117" operator="containsText" text="明">
      <formula>NOT(ISERROR(SEARCH("明",F25)))</formula>
    </cfRule>
    <cfRule type="containsText" dxfId="411" priority="116" operator="containsText" text="調">
      <formula>NOT(ISERROR(SEARCH("調",F25)))</formula>
    </cfRule>
    <cfRule type="containsText" dxfId="410" priority="115" operator="containsText" text="有">
      <formula>NOT(ISERROR(SEARCH("有",F25)))</formula>
    </cfRule>
    <cfRule type="containsText" dxfId="409" priority="114" operator="containsText" text="正">
      <formula>NOT(ISERROR(SEARCH("正",F25)))</formula>
    </cfRule>
    <cfRule type="containsText" dxfId="408" priority="113" operator="containsText" text="休">
      <formula>NOT(ISERROR(SEARCH("休",F25)))</formula>
    </cfRule>
    <cfRule type="containsText" dxfId="407" priority="112" operator="containsText" text="希">
      <formula>NOT(ISERROR(SEARCH("希",F25)))</formula>
    </cfRule>
  </conditionalFormatting>
  <conditionalFormatting sqref="F27">
    <cfRule type="containsText" dxfId="406" priority="68" operator="containsText" text="B">
      <formula>NOT(ISERROR(SEARCH("B",F27)))</formula>
    </cfRule>
    <cfRule type="containsText" dxfId="405" priority="67" operator="containsText" text="D">
      <formula>NOT(ISERROR(SEARCH("D",F27)))</formula>
    </cfRule>
    <cfRule type="containsText" dxfId="404" priority="66" operator="containsText" text="C">
      <formula>NOT(ISERROR(SEARCH("C",F27)))</formula>
    </cfRule>
    <cfRule type="containsText" dxfId="403" priority="65" operator="containsText" text="夜">
      <formula>NOT(ISERROR(SEARCH("夜",F27)))</formula>
    </cfRule>
    <cfRule type="containsText" dxfId="402" priority="64" operator="containsText" text="明">
      <formula>NOT(ISERROR(SEARCH("明",F27)))</formula>
    </cfRule>
    <cfRule type="containsText" dxfId="401" priority="63" operator="containsText" text="調">
      <formula>NOT(ISERROR(SEARCH("調",F27)))</formula>
    </cfRule>
    <cfRule type="containsText" dxfId="400" priority="62" operator="containsText" text="有">
      <formula>NOT(ISERROR(SEARCH("有",F27)))</formula>
    </cfRule>
    <cfRule type="containsText" dxfId="399" priority="61" operator="containsText" text="正">
      <formula>NOT(ISERROR(SEARCH("正",F27)))</formula>
    </cfRule>
    <cfRule type="containsText" dxfId="398" priority="60" operator="containsText" text="休">
      <formula>NOT(ISERROR(SEARCH("休",F27)))</formula>
    </cfRule>
    <cfRule type="containsText" dxfId="397" priority="59" operator="containsText" text="希">
      <formula>NOT(ISERROR(SEARCH("希",F27)))</formula>
    </cfRule>
    <cfRule type="containsText" dxfId="396" priority="58" operator="containsText" text="研">
      <formula>NOT(ISERROR(SEARCH("研",F27)))</formula>
    </cfRule>
    <cfRule type="containsText" dxfId="395" priority="57" operator="containsText" text="A">
      <formula>NOT(ISERROR(SEARCH("A",F27)))</formula>
    </cfRule>
    <cfRule type="containsText" dxfId="394" priority="56" operator="containsText" text="E">
      <formula>NOT(ISERROR(SEARCH("E",F27)))</formula>
    </cfRule>
  </conditionalFormatting>
  <conditionalFormatting sqref="G28">
    <cfRule type="containsText" dxfId="393" priority="35" operator="containsText" text="正">
      <formula>NOT(ISERROR(SEARCH("正",G28)))</formula>
    </cfRule>
    <cfRule type="containsText" dxfId="392" priority="40" operator="containsText" text="C">
      <formula>NOT(ISERROR(SEARCH("C",G28)))</formula>
    </cfRule>
    <cfRule type="containsText" dxfId="391" priority="31" operator="containsText" text="A">
      <formula>NOT(ISERROR(SEARCH("A",G28)))</formula>
    </cfRule>
    <cfRule type="containsText" dxfId="390" priority="32" operator="containsText" text="研">
      <formula>NOT(ISERROR(SEARCH("研",G28)))</formula>
    </cfRule>
    <cfRule type="containsText" dxfId="389" priority="33" operator="containsText" text="希">
      <formula>NOT(ISERROR(SEARCH("希",G28)))</formula>
    </cfRule>
    <cfRule type="containsText" dxfId="388" priority="34" operator="containsText" text="休">
      <formula>NOT(ISERROR(SEARCH("休",G28)))</formula>
    </cfRule>
    <cfRule type="containsText" dxfId="387" priority="38" operator="containsText" text="明">
      <formula>NOT(ISERROR(SEARCH("明",G28)))</formula>
    </cfRule>
    <cfRule type="containsText" dxfId="386" priority="39" operator="containsText" text="夜">
      <formula>NOT(ISERROR(SEARCH("夜",G28)))</formula>
    </cfRule>
    <cfRule type="containsText" dxfId="385" priority="36" operator="containsText" text="有">
      <formula>NOT(ISERROR(SEARCH("有",G28)))</formula>
    </cfRule>
    <cfRule type="containsText" dxfId="384" priority="42" operator="containsText" text="B">
      <formula>NOT(ISERROR(SEARCH("B",G28)))</formula>
    </cfRule>
    <cfRule type="containsText" dxfId="383" priority="37" operator="containsText" text="調">
      <formula>NOT(ISERROR(SEARCH("調",G28)))</formula>
    </cfRule>
    <cfRule type="containsText" dxfId="382" priority="41" operator="containsText" text="D">
      <formula>NOT(ISERROR(SEARCH("D",G28)))</formula>
    </cfRule>
    <cfRule type="containsText" dxfId="381" priority="30" operator="containsText" text="E">
      <formula>NOT(ISERROR(SEARCH("E",G28)))</formula>
    </cfRule>
  </conditionalFormatting>
  <conditionalFormatting sqref="G7:I7">
    <cfRule type="containsText" dxfId="380" priority="389" operator="containsText" text="A">
      <formula>NOT(ISERROR(SEARCH("A",G7)))</formula>
    </cfRule>
    <cfRule type="containsText" dxfId="379" priority="401" operator="containsText" text="B">
      <formula>NOT(ISERROR(SEARCH("B",G7)))</formula>
    </cfRule>
    <cfRule type="containsText" dxfId="378" priority="400" operator="containsText" text="D">
      <formula>NOT(ISERROR(SEARCH("D",G7)))</formula>
    </cfRule>
    <cfRule type="containsText" dxfId="377" priority="399" operator="containsText" text="C">
      <formula>NOT(ISERROR(SEARCH("C",G7)))</formula>
    </cfRule>
    <cfRule type="containsText" dxfId="376" priority="398" operator="containsText" text="夜">
      <formula>NOT(ISERROR(SEARCH("夜",G7)))</formula>
    </cfRule>
    <cfRule type="containsText" dxfId="375" priority="397" operator="containsText" text="明">
      <formula>NOT(ISERROR(SEARCH("明",G7)))</formula>
    </cfRule>
    <cfRule type="containsText" dxfId="374" priority="396" operator="containsText" text="調">
      <formula>NOT(ISERROR(SEARCH("調",G7)))</formula>
    </cfRule>
    <cfRule type="containsText" dxfId="373" priority="395" operator="containsText" text="有">
      <formula>NOT(ISERROR(SEARCH("有",G7)))</formula>
    </cfRule>
    <cfRule type="containsText" dxfId="372" priority="394" operator="containsText" text="正">
      <formula>NOT(ISERROR(SEARCH("正",G7)))</formula>
    </cfRule>
    <cfRule type="containsText" dxfId="371" priority="393" operator="containsText" text="休">
      <formula>NOT(ISERROR(SEARCH("休",G7)))</formula>
    </cfRule>
    <cfRule type="containsText" dxfId="370" priority="392" operator="containsText" text="希">
      <formula>NOT(ISERROR(SEARCH("希",G7)))</formula>
    </cfRule>
    <cfRule type="containsText" dxfId="369" priority="390" operator="containsText" text="E">
      <formula>NOT(ISERROR(SEARCH("E",G7)))</formula>
    </cfRule>
    <cfRule type="containsText" dxfId="368" priority="391" operator="containsText" text="研">
      <formula>NOT(ISERROR(SEARCH("研",G7)))</formula>
    </cfRule>
  </conditionalFormatting>
  <conditionalFormatting sqref="I25">
    <cfRule type="containsText" dxfId="367" priority="103" operator="containsText" text="明">
      <formula>NOT(ISERROR(SEARCH("明",I25)))</formula>
    </cfRule>
    <cfRule type="containsText" dxfId="366" priority="97" operator="containsText" text="研">
      <formula>NOT(ISERROR(SEARCH("研",I25)))</formula>
    </cfRule>
    <cfRule type="containsText" dxfId="365" priority="98" operator="containsText" text="希">
      <formula>NOT(ISERROR(SEARCH("希",I25)))</formula>
    </cfRule>
    <cfRule type="containsText" dxfId="364" priority="101" operator="containsText" text="有">
      <formula>NOT(ISERROR(SEARCH("有",I25)))</formula>
    </cfRule>
    <cfRule type="containsText" dxfId="363" priority="102" operator="containsText" text="調">
      <formula>NOT(ISERROR(SEARCH("調",I25)))</formula>
    </cfRule>
    <cfRule type="containsText" dxfId="362" priority="107" operator="containsText" text="B">
      <formula>NOT(ISERROR(SEARCH("B",I25)))</formula>
    </cfRule>
    <cfRule type="containsText" dxfId="361" priority="106" operator="containsText" text="D">
      <formula>NOT(ISERROR(SEARCH("D",I25)))</formula>
    </cfRule>
    <cfRule type="containsText" dxfId="360" priority="100" operator="containsText" text="正">
      <formula>NOT(ISERROR(SEARCH("正",I25)))</formula>
    </cfRule>
    <cfRule type="containsText" dxfId="359" priority="99" operator="containsText" text="休">
      <formula>NOT(ISERROR(SEARCH("休",I25)))</formula>
    </cfRule>
    <cfRule type="containsText" dxfId="358" priority="105" operator="containsText" text="C">
      <formula>NOT(ISERROR(SEARCH("C",I25)))</formula>
    </cfRule>
    <cfRule type="containsText" dxfId="357" priority="104" operator="containsText" text="夜">
      <formula>NOT(ISERROR(SEARCH("夜",I25)))</formula>
    </cfRule>
    <cfRule type="containsText" dxfId="356" priority="95" operator="containsText" text="A">
      <formula>NOT(ISERROR(SEARCH("A",I25)))</formula>
    </cfRule>
    <cfRule type="containsText" dxfId="355" priority="96" operator="containsText" text="E">
      <formula>NOT(ISERROR(SEARCH("E",I25)))</formula>
    </cfRule>
  </conditionalFormatting>
  <conditionalFormatting sqref="I28">
    <cfRule type="containsText" dxfId="354" priority="21" operator="containsText" text="休">
      <formula>NOT(ISERROR(SEARCH("休",I28)))</formula>
    </cfRule>
    <cfRule type="containsText" dxfId="353" priority="22" operator="containsText" text="正">
      <formula>NOT(ISERROR(SEARCH("正",I28)))</formula>
    </cfRule>
    <cfRule type="containsText" dxfId="352" priority="20" operator="containsText" text="希">
      <formula>NOT(ISERROR(SEARCH("希",I28)))</formula>
    </cfRule>
    <cfRule type="containsText" dxfId="351" priority="19" operator="containsText" text="研">
      <formula>NOT(ISERROR(SEARCH("研",I28)))</formula>
    </cfRule>
    <cfRule type="containsText" dxfId="350" priority="18" operator="containsText" text="A">
      <formula>NOT(ISERROR(SEARCH("A",I28)))</formula>
    </cfRule>
    <cfRule type="containsText" dxfId="349" priority="17" operator="containsText" text="E">
      <formula>NOT(ISERROR(SEARCH("E",I28)))</formula>
    </cfRule>
    <cfRule type="containsText" dxfId="348" priority="23" operator="containsText" text="有">
      <formula>NOT(ISERROR(SEARCH("有",I28)))</formula>
    </cfRule>
    <cfRule type="containsText" dxfId="347" priority="24" operator="containsText" text="調">
      <formula>NOT(ISERROR(SEARCH("調",I28)))</formula>
    </cfRule>
    <cfRule type="containsText" dxfId="346" priority="25" operator="containsText" text="明">
      <formula>NOT(ISERROR(SEARCH("明",I28)))</formula>
    </cfRule>
    <cfRule type="containsText" dxfId="345" priority="26" operator="containsText" text="夜">
      <formula>NOT(ISERROR(SEARCH("夜",I28)))</formula>
    </cfRule>
    <cfRule type="containsText" dxfId="344" priority="27" operator="containsText" text="C">
      <formula>NOT(ISERROR(SEARCH("C",I28)))</formula>
    </cfRule>
    <cfRule type="containsText" dxfId="343" priority="28" operator="containsText" text="D">
      <formula>NOT(ISERROR(SEARCH("D",I28)))</formula>
    </cfRule>
    <cfRule type="containsText" dxfId="342" priority="29" operator="containsText" text="B">
      <formula>NOT(ISERROR(SEARCH("B",I28)))</formula>
    </cfRule>
  </conditionalFormatting>
  <conditionalFormatting sqref="I7:L7">
    <cfRule type="containsText" dxfId="341" priority="357" operator="containsText" text="調">
      <formula>NOT(ISERROR(SEARCH("調",I7)))</formula>
    </cfRule>
    <cfRule type="containsText" dxfId="340" priority="361" operator="containsText" text="D">
      <formula>NOT(ISERROR(SEARCH("D",I7)))</formula>
    </cfRule>
    <cfRule type="containsText" dxfId="339" priority="356" operator="containsText" text="有">
      <formula>NOT(ISERROR(SEARCH("有",I7)))</formula>
    </cfRule>
    <cfRule type="containsText" dxfId="338" priority="355" operator="containsText" text="正">
      <formula>NOT(ISERROR(SEARCH("正",I7)))</formula>
    </cfRule>
    <cfRule type="containsText" dxfId="337" priority="354" operator="containsText" text="休">
      <formula>NOT(ISERROR(SEARCH("休",I7)))</formula>
    </cfRule>
    <cfRule type="containsText" dxfId="336" priority="353" operator="containsText" text="希">
      <formula>NOT(ISERROR(SEARCH("希",I7)))</formula>
    </cfRule>
    <cfRule type="containsText" dxfId="335" priority="352" operator="containsText" text="研">
      <formula>NOT(ISERROR(SEARCH("研",I7)))</formula>
    </cfRule>
    <cfRule type="containsText" dxfId="334" priority="351" operator="containsText" text="E">
      <formula>NOT(ISERROR(SEARCH("E",I7)))</formula>
    </cfRule>
    <cfRule type="containsText" dxfId="333" priority="350" operator="containsText" text="A">
      <formula>NOT(ISERROR(SEARCH("A",I7)))</formula>
    </cfRule>
    <cfRule type="containsText" dxfId="332" priority="358" operator="containsText" text="明">
      <formula>NOT(ISERROR(SEARCH("明",I7)))</formula>
    </cfRule>
    <cfRule type="containsText" dxfId="331" priority="359" operator="containsText" text="夜">
      <formula>NOT(ISERROR(SEARCH("夜",I7)))</formula>
    </cfRule>
    <cfRule type="containsText" dxfId="330" priority="360" operator="containsText" text="C">
      <formula>NOT(ISERROR(SEARCH("C",I7)))</formula>
    </cfRule>
    <cfRule type="containsText" dxfId="329" priority="362" operator="containsText" text="B">
      <formula>NOT(ISERROR(SEARCH("B",I7)))</formula>
    </cfRule>
  </conditionalFormatting>
  <conditionalFormatting sqref="N7:O7">
    <cfRule type="containsText" dxfId="328" priority="378" operator="containsText" text="研">
      <formula>NOT(ISERROR(SEARCH("研",N7)))</formula>
    </cfRule>
    <cfRule type="containsText" dxfId="327" priority="379" operator="containsText" text="希">
      <formula>NOT(ISERROR(SEARCH("希",N7)))</formula>
    </cfRule>
    <cfRule type="containsText" dxfId="326" priority="380" operator="containsText" text="休">
      <formula>NOT(ISERROR(SEARCH("休",N7)))</formula>
    </cfRule>
    <cfRule type="containsText" dxfId="325" priority="381" operator="containsText" text="正">
      <formula>NOT(ISERROR(SEARCH("正",N7)))</formula>
    </cfRule>
    <cfRule type="containsText" dxfId="324" priority="382" operator="containsText" text="有">
      <formula>NOT(ISERROR(SEARCH("有",N7)))</formula>
    </cfRule>
    <cfRule type="containsText" dxfId="323" priority="376" operator="containsText" text="A">
      <formula>NOT(ISERROR(SEARCH("A",N7)))</formula>
    </cfRule>
    <cfRule type="containsText" dxfId="322" priority="388" operator="containsText" text="B">
      <formula>NOT(ISERROR(SEARCH("B",N7)))</formula>
    </cfRule>
    <cfRule type="containsText" dxfId="321" priority="387" operator="containsText" text="D">
      <formula>NOT(ISERROR(SEARCH("D",N7)))</formula>
    </cfRule>
    <cfRule type="containsText" dxfId="320" priority="377" operator="containsText" text="E">
      <formula>NOT(ISERROR(SEARCH("E",N7)))</formula>
    </cfRule>
    <cfRule type="containsText" dxfId="319" priority="385" operator="containsText" text="夜">
      <formula>NOT(ISERROR(SEARCH("夜",N7)))</formula>
    </cfRule>
    <cfRule type="containsText" dxfId="318" priority="384" operator="containsText" text="明">
      <formula>NOT(ISERROR(SEARCH("明",N7)))</formula>
    </cfRule>
    <cfRule type="containsText" dxfId="317" priority="386" operator="containsText" text="C">
      <formula>NOT(ISERROR(SEARCH("C",N7)))</formula>
    </cfRule>
    <cfRule type="containsText" dxfId="316" priority="383" operator="containsText" text="調">
      <formula>NOT(ISERROR(SEARCH("調",N7)))</formula>
    </cfRule>
  </conditionalFormatting>
  <conditionalFormatting sqref="O9:P9">
    <cfRule type="containsText" dxfId="315" priority="191" operator="containsText" text="C">
      <formula>NOT(ISERROR(SEARCH("C",O9)))</formula>
    </cfRule>
    <cfRule type="containsText" dxfId="314" priority="189" operator="containsText" text="明">
      <formula>NOT(ISERROR(SEARCH("明",O9)))</formula>
    </cfRule>
    <cfRule type="containsText" dxfId="313" priority="190" operator="containsText" text="夜">
      <formula>NOT(ISERROR(SEARCH("夜",O9)))</formula>
    </cfRule>
    <cfRule type="containsText" dxfId="312" priority="193" operator="containsText" text="B">
      <formula>NOT(ISERROR(SEARCH("B",O9)))</formula>
    </cfRule>
    <cfRule type="containsText" dxfId="311" priority="192" operator="containsText" text="D">
      <formula>NOT(ISERROR(SEARCH("D",O9)))</formula>
    </cfRule>
  </conditionalFormatting>
  <conditionalFormatting sqref="P7:T7">
    <cfRule type="containsText" dxfId="310" priority="335" operator="containsText" text="D">
      <formula>NOT(ISERROR(SEARCH("D",P7)))</formula>
    </cfRule>
    <cfRule type="containsText" dxfId="309" priority="332" operator="containsText" text="明">
      <formula>NOT(ISERROR(SEARCH("明",P7)))</formula>
    </cfRule>
    <cfRule type="containsText" dxfId="308" priority="331" operator="containsText" text="調">
      <formula>NOT(ISERROR(SEARCH("調",P7)))</formula>
    </cfRule>
    <cfRule type="containsText" dxfId="307" priority="330" operator="containsText" text="有">
      <formula>NOT(ISERROR(SEARCH("有",P7)))</formula>
    </cfRule>
    <cfRule type="containsText" dxfId="306" priority="333" operator="containsText" text="夜">
      <formula>NOT(ISERROR(SEARCH("夜",P7)))</formula>
    </cfRule>
    <cfRule type="containsText" dxfId="305" priority="334" operator="containsText" text="C">
      <formula>NOT(ISERROR(SEARCH("C",P7)))</formula>
    </cfRule>
    <cfRule type="containsText" dxfId="304" priority="336" operator="containsText" text="B">
      <formula>NOT(ISERROR(SEARCH("B",P7)))</formula>
    </cfRule>
    <cfRule type="containsText" dxfId="303" priority="329" operator="containsText" text="正">
      <formula>NOT(ISERROR(SEARCH("正",P7)))</formula>
    </cfRule>
    <cfRule type="containsText" dxfId="302" priority="328" operator="containsText" text="休">
      <formula>NOT(ISERROR(SEARCH("休",P7)))</formula>
    </cfRule>
    <cfRule type="containsText" dxfId="301" priority="327" operator="containsText" text="希">
      <formula>NOT(ISERROR(SEARCH("希",P7)))</formula>
    </cfRule>
    <cfRule type="containsText" dxfId="300" priority="324" operator="containsText" text="A">
      <formula>NOT(ISERROR(SEARCH("A",P7)))</formula>
    </cfRule>
    <cfRule type="containsText" dxfId="299" priority="326" operator="containsText" text="研">
      <formula>NOT(ISERROR(SEARCH("研",P7)))</formula>
    </cfRule>
    <cfRule type="containsText" dxfId="298" priority="325" operator="containsText" text="E">
      <formula>NOT(ISERROR(SEARCH("E",P7)))</formula>
    </cfRule>
  </conditionalFormatting>
  <conditionalFormatting sqref="Q7:T7">
    <cfRule type="containsText" dxfId="297" priority="315" operator="containsText" text="休">
      <formula>NOT(ISERROR(SEARCH("休",Q7)))</formula>
    </cfRule>
    <cfRule type="containsText" dxfId="296" priority="323" operator="containsText" text="B">
      <formula>NOT(ISERROR(SEARCH("B",Q7)))</formula>
    </cfRule>
    <cfRule type="containsText" dxfId="295" priority="337" operator="containsText" text="A">
      <formula>NOT(ISERROR(SEARCH("A",Q7)))</formula>
    </cfRule>
    <cfRule type="containsText" dxfId="294" priority="314" operator="containsText" text="希">
      <formula>NOT(ISERROR(SEARCH("希",Q7)))</formula>
    </cfRule>
    <cfRule type="containsText" dxfId="293" priority="313" operator="containsText" text="研">
      <formula>NOT(ISERROR(SEARCH("研",Q7)))</formula>
    </cfRule>
    <cfRule type="containsText" dxfId="292" priority="338" operator="containsText" text="E">
      <formula>NOT(ISERROR(SEARCH("E",Q7)))</formula>
    </cfRule>
    <cfRule type="containsText" dxfId="291" priority="312" operator="containsText" text="E">
      <formula>NOT(ISERROR(SEARCH("E",Q7)))</formula>
    </cfRule>
    <cfRule type="containsText" dxfId="290" priority="339" operator="containsText" text="研">
      <formula>NOT(ISERROR(SEARCH("研",Q7)))</formula>
    </cfRule>
    <cfRule type="containsText" dxfId="289" priority="311" operator="containsText" text="A">
      <formula>NOT(ISERROR(SEARCH("A",Q7)))</formula>
    </cfRule>
    <cfRule type="containsText" dxfId="288" priority="349" operator="containsText" text="B">
      <formula>NOT(ISERROR(SEARCH("B",Q7)))</formula>
    </cfRule>
    <cfRule type="containsText" dxfId="287" priority="348" operator="containsText" text="D">
      <formula>NOT(ISERROR(SEARCH("D",Q7)))</formula>
    </cfRule>
    <cfRule type="containsText" dxfId="286" priority="347" operator="containsText" text="C">
      <formula>NOT(ISERROR(SEARCH("C",Q7)))</formula>
    </cfRule>
    <cfRule type="containsText" dxfId="285" priority="317" operator="containsText" text="有">
      <formula>NOT(ISERROR(SEARCH("有",Q7)))</formula>
    </cfRule>
    <cfRule type="containsText" dxfId="284" priority="318" operator="containsText" text="調">
      <formula>NOT(ISERROR(SEARCH("調",Q7)))</formula>
    </cfRule>
    <cfRule type="containsText" dxfId="283" priority="319" operator="containsText" text="明">
      <formula>NOT(ISERROR(SEARCH("明",Q7)))</formula>
    </cfRule>
    <cfRule type="containsText" dxfId="282" priority="346" operator="containsText" text="夜">
      <formula>NOT(ISERROR(SEARCH("夜",Q7)))</formula>
    </cfRule>
    <cfRule type="containsText" dxfId="281" priority="345" operator="containsText" text="明">
      <formula>NOT(ISERROR(SEARCH("明",Q7)))</formula>
    </cfRule>
    <cfRule type="containsText" dxfId="280" priority="344" operator="containsText" text="調">
      <formula>NOT(ISERROR(SEARCH("調",Q7)))</formula>
    </cfRule>
    <cfRule type="containsText" dxfId="279" priority="340" operator="containsText" text="希">
      <formula>NOT(ISERROR(SEARCH("希",Q7)))</formula>
    </cfRule>
    <cfRule type="containsText" dxfId="278" priority="341" operator="containsText" text="休">
      <formula>NOT(ISERROR(SEARCH("休",Q7)))</formula>
    </cfRule>
    <cfRule type="containsText" dxfId="277" priority="342" operator="containsText" text="正">
      <formula>NOT(ISERROR(SEARCH("正",Q7)))</formula>
    </cfRule>
    <cfRule type="containsText" dxfId="276" priority="343" operator="containsText" text="有">
      <formula>NOT(ISERROR(SEARCH("有",Q7)))</formula>
    </cfRule>
    <cfRule type="containsText" dxfId="275" priority="320" operator="containsText" text="夜">
      <formula>NOT(ISERROR(SEARCH("夜",Q7)))</formula>
    </cfRule>
    <cfRule type="containsText" dxfId="274" priority="321" operator="containsText" text="C">
      <formula>NOT(ISERROR(SEARCH("C",Q7)))</formula>
    </cfRule>
    <cfRule type="containsText" dxfId="273" priority="322" operator="containsText" text="D">
      <formula>NOT(ISERROR(SEARCH("D",Q7)))</formula>
    </cfRule>
    <cfRule type="containsText" dxfId="272" priority="316" operator="containsText" text="正">
      <formula>NOT(ISERROR(SEARCH("正",Q7)))</formula>
    </cfRule>
  </conditionalFormatting>
  <conditionalFormatting sqref="R10">
    <cfRule type="containsText" dxfId="271" priority="167" operator="containsText" text="夜">
      <formula>NOT(ISERROR(SEARCH("夜",R10)))</formula>
    </cfRule>
    <cfRule type="containsText" dxfId="270" priority="170" operator="containsText" text="B">
      <formula>NOT(ISERROR(SEARCH("B",R10)))</formula>
    </cfRule>
    <cfRule type="containsText" dxfId="269" priority="169" operator="containsText" text="D">
      <formula>NOT(ISERROR(SEARCH("D",R10)))</formula>
    </cfRule>
    <cfRule type="containsText" dxfId="268" priority="168" operator="containsText" text="C">
      <formula>NOT(ISERROR(SEARCH("C",R10)))</formula>
    </cfRule>
    <cfRule type="containsText" dxfId="267" priority="166" operator="containsText" text="明">
      <formula>NOT(ISERROR(SEARCH("明",R10)))</formula>
    </cfRule>
  </conditionalFormatting>
  <conditionalFormatting sqref="S7">
    <cfRule type="containsText" dxfId="266" priority="230" operator="containsText" text="C">
      <formula>NOT(ISERROR(SEARCH("C",S7)))</formula>
    </cfRule>
    <cfRule type="containsText" dxfId="265" priority="231" operator="containsText" text="D">
      <formula>NOT(ISERROR(SEARCH("D",S7)))</formula>
    </cfRule>
    <cfRule type="containsText" dxfId="264" priority="229" operator="containsText" text="夜">
      <formula>NOT(ISERROR(SEARCH("夜",S7)))</formula>
    </cfRule>
    <cfRule type="containsText" dxfId="263" priority="228" operator="containsText" text="明">
      <formula>NOT(ISERROR(SEARCH("明",S7)))</formula>
    </cfRule>
    <cfRule type="containsText" dxfId="262" priority="227" operator="containsText" text="調">
      <formula>NOT(ISERROR(SEARCH("調",S7)))</formula>
    </cfRule>
    <cfRule type="containsText" dxfId="261" priority="226" operator="containsText" text="有">
      <formula>NOT(ISERROR(SEARCH("有",S7)))</formula>
    </cfRule>
    <cfRule type="containsText" dxfId="260" priority="225" operator="containsText" text="正">
      <formula>NOT(ISERROR(SEARCH("正",S7)))</formula>
    </cfRule>
    <cfRule type="containsText" dxfId="259" priority="224" operator="containsText" text="休">
      <formula>NOT(ISERROR(SEARCH("休",S7)))</formula>
    </cfRule>
    <cfRule type="containsText" dxfId="258" priority="223" operator="containsText" text="希">
      <formula>NOT(ISERROR(SEARCH("希",S7)))</formula>
    </cfRule>
    <cfRule type="containsText" dxfId="257" priority="222" operator="containsText" text="研">
      <formula>NOT(ISERROR(SEARCH("研",S7)))</formula>
    </cfRule>
    <cfRule type="containsText" dxfId="256" priority="221" operator="containsText" text="E">
      <formula>NOT(ISERROR(SEARCH("E",S7)))</formula>
    </cfRule>
    <cfRule type="containsText" dxfId="255" priority="220" operator="containsText" text="A">
      <formula>NOT(ISERROR(SEARCH("A",S7)))</formula>
    </cfRule>
    <cfRule type="containsText" dxfId="254" priority="232" operator="containsText" text="B">
      <formula>NOT(ISERROR(SEARCH("B",S7)))</formula>
    </cfRule>
  </conditionalFormatting>
  <conditionalFormatting sqref="S9">
    <cfRule type="containsText" dxfId="253" priority="172" operator="containsText" text="夜">
      <formula>NOT(ISERROR(SEARCH("夜",S9)))</formula>
    </cfRule>
    <cfRule type="containsText" dxfId="252" priority="171" operator="containsText" text="明">
      <formula>NOT(ISERROR(SEARCH("明",S9)))</formula>
    </cfRule>
    <cfRule type="containsText" dxfId="251" priority="175" operator="containsText" text="B">
      <formula>NOT(ISERROR(SEARCH("B",S9)))</formula>
    </cfRule>
    <cfRule type="containsText" dxfId="250" priority="174" operator="containsText" text="D">
      <formula>NOT(ISERROR(SEARCH("D",S9)))</formula>
    </cfRule>
    <cfRule type="containsText" dxfId="249" priority="173" operator="containsText" text="C">
      <formula>NOT(ISERROR(SEARCH("C",S9)))</formula>
    </cfRule>
  </conditionalFormatting>
  <conditionalFormatting sqref="V10">
    <cfRule type="containsText" dxfId="248" priority="165" operator="containsText" text="B">
      <formula>NOT(ISERROR(SEARCH("B",V10)))</formula>
    </cfRule>
    <cfRule type="containsText" dxfId="247" priority="164" operator="containsText" text="D">
      <formula>NOT(ISERROR(SEARCH("D",V10)))</formula>
    </cfRule>
    <cfRule type="containsText" dxfId="246" priority="161" operator="containsText" text="明">
      <formula>NOT(ISERROR(SEARCH("明",V10)))</formula>
    </cfRule>
    <cfRule type="containsText" dxfId="245" priority="162" operator="containsText" text="夜">
      <formula>NOT(ISERROR(SEARCH("夜",V10)))</formula>
    </cfRule>
    <cfRule type="containsText" dxfId="244" priority="163" operator="containsText" text="C">
      <formula>NOT(ISERROR(SEARCH("C",V10)))</formula>
    </cfRule>
  </conditionalFormatting>
  <conditionalFormatting sqref="AA25">
    <cfRule type="containsText" dxfId="243" priority="83" operator="containsText" text="E">
      <formula>NOT(ISERROR(SEARCH("E",AA25)))</formula>
    </cfRule>
    <cfRule type="containsText" dxfId="242" priority="94" operator="containsText" text="B">
      <formula>NOT(ISERROR(SEARCH("B",AA25)))</formula>
    </cfRule>
    <cfRule type="containsText" dxfId="241" priority="93" operator="containsText" text="D">
      <formula>NOT(ISERROR(SEARCH("D",AA25)))</formula>
    </cfRule>
    <cfRule type="containsText" dxfId="240" priority="92" operator="containsText" text="C">
      <formula>NOT(ISERROR(SEARCH("C",AA25)))</formula>
    </cfRule>
    <cfRule type="containsText" dxfId="239" priority="91" operator="containsText" text="夜">
      <formula>NOT(ISERROR(SEARCH("夜",AA25)))</formula>
    </cfRule>
    <cfRule type="containsText" dxfId="238" priority="90" operator="containsText" text="明">
      <formula>NOT(ISERROR(SEARCH("明",AA25)))</formula>
    </cfRule>
    <cfRule type="containsText" dxfId="237" priority="89" operator="containsText" text="調">
      <formula>NOT(ISERROR(SEARCH("調",AA25)))</formula>
    </cfRule>
    <cfRule type="containsText" dxfId="236" priority="88" operator="containsText" text="有">
      <formula>NOT(ISERROR(SEARCH("有",AA25)))</formula>
    </cfRule>
    <cfRule type="containsText" dxfId="235" priority="87" operator="containsText" text="正">
      <formula>NOT(ISERROR(SEARCH("正",AA25)))</formula>
    </cfRule>
    <cfRule type="containsText" dxfId="234" priority="86" operator="containsText" text="休">
      <formula>NOT(ISERROR(SEARCH("休",AA25)))</formula>
    </cfRule>
    <cfRule type="containsText" dxfId="233" priority="85" operator="containsText" text="希">
      <formula>NOT(ISERROR(SEARCH("希",AA25)))</formula>
    </cfRule>
    <cfRule type="containsText" dxfId="232" priority="84" operator="containsText" text="研">
      <formula>NOT(ISERROR(SEARCH("研",AA25)))</formula>
    </cfRule>
    <cfRule type="containsText" dxfId="231" priority="82" operator="containsText" text="A">
      <formula>NOT(ISERROR(SEARCH("A",AA25)))</formula>
    </cfRule>
  </conditionalFormatting>
  <conditionalFormatting sqref="AA27">
    <cfRule type="containsText" dxfId="230" priority="54" operator="containsText" text="D">
      <formula>NOT(ISERROR(SEARCH("D",AA27)))</formula>
    </cfRule>
    <cfRule type="containsText" dxfId="229" priority="53" operator="containsText" text="C">
      <formula>NOT(ISERROR(SEARCH("C",AA27)))</formula>
    </cfRule>
    <cfRule type="containsText" dxfId="228" priority="52" operator="containsText" text="夜">
      <formula>NOT(ISERROR(SEARCH("夜",AA27)))</formula>
    </cfRule>
    <cfRule type="containsText" dxfId="227" priority="51" operator="containsText" text="明">
      <formula>NOT(ISERROR(SEARCH("明",AA27)))</formula>
    </cfRule>
    <cfRule type="containsText" dxfId="226" priority="50" operator="containsText" text="調">
      <formula>NOT(ISERROR(SEARCH("調",AA27)))</formula>
    </cfRule>
    <cfRule type="containsText" dxfId="225" priority="49" operator="containsText" text="有">
      <formula>NOT(ISERROR(SEARCH("有",AA27)))</formula>
    </cfRule>
    <cfRule type="containsText" dxfId="224" priority="48" operator="containsText" text="正">
      <formula>NOT(ISERROR(SEARCH("正",AA27)))</formula>
    </cfRule>
    <cfRule type="containsText" dxfId="223" priority="47" operator="containsText" text="休">
      <formula>NOT(ISERROR(SEARCH("休",AA27)))</formula>
    </cfRule>
    <cfRule type="containsText" dxfId="222" priority="46" operator="containsText" text="希">
      <formula>NOT(ISERROR(SEARCH("希",AA27)))</formula>
    </cfRule>
    <cfRule type="containsText" dxfId="221" priority="45" operator="containsText" text="研">
      <formula>NOT(ISERROR(SEARCH("研",AA27)))</formula>
    </cfRule>
    <cfRule type="containsText" dxfId="220" priority="55" operator="containsText" text="B">
      <formula>NOT(ISERROR(SEARCH("B",AA27)))</formula>
    </cfRule>
    <cfRule type="containsText" dxfId="219" priority="44" operator="containsText" text="A">
      <formula>NOT(ISERROR(SEARCH("A",AA27)))</formula>
    </cfRule>
    <cfRule type="containsText" dxfId="218" priority="43" operator="containsText" text="E">
      <formula>NOT(ISERROR(SEARCH("E",AA27)))</formula>
    </cfRule>
  </conditionalFormatting>
  <conditionalFormatting sqref="AD25">
    <cfRule type="containsText" dxfId="217" priority="79" operator="containsText" text="C">
      <formula>NOT(ISERROR(SEARCH("C",AD25)))</formula>
    </cfRule>
    <cfRule type="containsText" dxfId="216" priority="69" operator="containsText" text="A">
      <formula>NOT(ISERROR(SEARCH("A",AD25)))</formula>
    </cfRule>
    <cfRule type="containsText" dxfId="215" priority="81" operator="containsText" text="B">
      <formula>NOT(ISERROR(SEARCH("B",AD25)))</formula>
    </cfRule>
    <cfRule type="containsText" dxfId="214" priority="70" operator="containsText" text="E">
      <formula>NOT(ISERROR(SEARCH("E",AD25)))</formula>
    </cfRule>
    <cfRule type="containsText" dxfId="213" priority="71" operator="containsText" text="研">
      <formula>NOT(ISERROR(SEARCH("研",AD25)))</formula>
    </cfRule>
    <cfRule type="containsText" dxfId="212" priority="72" operator="containsText" text="希">
      <formula>NOT(ISERROR(SEARCH("希",AD25)))</formula>
    </cfRule>
    <cfRule type="containsText" dxfId="211" priority="73" operator="containsText" text="休">
      <formula>NOT(ISERROR(SEARCH("休",AD25)))</formula>
    </cfRule>
    <cfRule type="containsText" dxfId="210" priority="74" operator="containsText" text="正">
      <formula>NOT(ISERROR(SEARCH("正",AD25)))</formula>
    </cfRule>
    <cfRule type="containsText" dxfId="209" priority="75" operator="containsText" text="有">
      <formula>NOT(ISERROR(SEARCH("有",AD25)))</formula>
    </cfRule>
    <cfRule type="containsText" dxfId="208" priority="76" operator="containsText" text="調">
      <formula>NOT(ISERROR(SEARCH("調",AD25)))</formula>
    </cfRule>
    <cfRule type="containsText" dxfId="207" priority="77" operator="containsText" text="明">
      <formula>NOT(ISERROR(SEARCH("明",AD25)))</formula>
    </cfRule>
    <cfRule type="containsText" dxfId="206" priority="78" operator="containsText" text="夜">
      <formula>NOT(ISERROR(SEARCH("夜",AD25)))</formula>
    </cfRule>
    <cfRule type="containsText" dxfId="205" priority="80" operator="containsText" text="D">
      <formula>NOT(ISERROR(SEARCH("D",AD25)))</formula>
    </cfRule>
  </conditionalFormatting>
  <conditionalFormatting sqref="AD28">
    <cfRule type="containsText" dxfId="204" priority="16" operator="containsText" text="B">
      <formula>NOT(ISERROR(SEARCH("B",AD28)))</formula>
    </cfRule>
    <cfRule type="containsText" dxfId="203" priority="12" operator="containsText" text="明">
      <formula>NOT(ISERROR(SEARCH("明",AD28)))</formula>
    </cfRule>
    <cfRule type="containsText" dxfId="202" priority="11" operator="containsText" text="調">
      <formula>NOT(ISERROR(SEARCH("調",AD28)))</formula>
    </cfRule>
    <cfRule type="containsText" dxfId="201" priority="10" operator="containsText" text="有">
      <formula>NOT(ISERROR(SEARCH("有",AD28)))</formula>
    </cfRule>
    <cfRule type="containsText" dxfId="200" priority="9" operator="containsText" text="正">
      <formula>NOT(ISERROR(SEARCH("正",AD28)))</formula>
    </cfRule>
    <cfRule type="containsText" dxfId="199" priority="8" operator="containsText" text="休">
      <formula>NOT(ISERROR(SEARCH("休",AD28)))</formula>
    </cfRule>
    <cfRule type="containsText" dxfId="198" priority="7" operator="containsText" text="希">
      <formula>NOT(ISERROR(SEARCH("希",AD28)))</formula>
    </cfRule>
    <cfRule type="containsText" dxfId="197" priority="6" operator="containsText" text="研">
      <formula>NOT(ISERROR(SEARCH("研",AD28)))</formula>
    </cfRule>
    <cfRule type="containsText" dxfId="196" priority="5" operator="containsText" text="A">
      <formula>NOT(ISERROR(SEARCH("A",AD28)))</formula>
    </cfRule>
    <cfRule type="containsText" dxfId="195" priority="4" operator="containsText" text="E">
      <formula>NOT(ISERROR(SEARCH("E",AD28)))</formula>
    </cfRule>
    <cfRule type="containsText" dxfId="194" priority="15" operator="containsText" text="D">
      <formula>NOT(ISERROR(SEARCH("D",AD28)))</formula>
    </cfRule>
    <cfRule type="containsText" dxfId="193" priority="13" operator="containsText" text="夜">
      <formula>NOT(ISERROR(SEARCH("夜",AD28)))</formula>
    </cfRule>
    <cfRule type="containsText" dxfId="192" priority="14" operator="containsText" text="C">
      <formula>NOT(ISERROR(SEARCH("C",AD28)))</formula>
    </cfRule>
  </conditionalFormatting>
  <conditionalFormatting sqref="AD7:AE7">
    <cfRule type="containsText" dxfId="191" priority="287" operator="containsText" text="研">
      <formula>NOT(ISERROR(SEARCH("研",AD7)))</formula>
    </cfRule>
    <cfRule type="containsText" dxfId="190" priority="286" operator="containsText" text="E">
      <formula>NOT(ISERROR(SEARCH("E",AD7)))</formula>
    </cfRule>
    <cfRule type="containsText" dxfId="189" priority="309" operator="containsText" text="D">
      <formula>NOT(ISERROR(SEARCH("D",AD7)))</formula>
    </cfRule>
    <cfRule type="containsText" dxfId="188" priority="308" operator="containsText" text="C">
      <formula>NOT(ISERROR(SEARCH("C",AD7)))</formula>
    </cfRule>
    <cfRule type="containsText" dxfId="187" priority="307" operator="containsText" text="夜">
      <formula>NOT(ISERROR(SEARCH("夜",AD7)))</formula>
    </cfRule>
    <cfRule type="containsText" dxfId="186" priority="306" operator="containsText" text="明">
      <formula>NOT(ISERROR(SEARCH("明",AD7)))</formula>
    </cfRule>
    <cfRule type="containsText" dxfId="185" priority="305" operator="containsText" text="調">
      <formula>NOT(ISERROR(SEARCH("調",AD7)))</formula>
    </cfRule>
    <cfRule type="containsText" dxfId="184" priority="304" operator="containsText" text="有">
      <formula>NOT(ISERROR(SEARCH("有",AD7)))</formula>
    </cfRule>
    <cfRule type="containsText" dxfId="183" priority="303" operator="containsText" text="正">
      <formula>NOT(ISERROR(SEARCH("正",AD7)))</formula>
    </cfRule>
    <cfRule type="containsText" dxfId="182" priority="302" operator="containsText" text="休">
      <formula>NOT(ISERROR(SEARCH("休",AD7)))</formula>
    </cfRule>
    <cfRule type="containsText" dxfId="181" priority="301" operator="containsText" text="希">
      <formula>NOT(ISERROR(SEARCH("希",AD7)))</formula>
    </cfRule>
    <cfRule type="containsText" dxfId="180" priority="300" operator="containsText" text="研">
      <formula>NOT(ISERROR(SEARCH("研",AD7)))</formula>
    </cfRule>
    <cfRule type="containsText" dxfId="179" priority="299" operator="containsText" text="E">
      <formula>NOT(ISERROR(SEARCH("E",AD7)))</formula>
    </cfRule>
    <cfRule type="containsText" dxfId="178" priority="298" operator="containsText" text="A">
      <formula>NOT(ISERROR(SEARCH("A",AD7)))</formula>
    </cfRule>
    <cfRule type="containsText" dxfId="177" priority="297" operator="containsText" text="B">
      <formula>NOT(ISERROR(SEARCH("B",AD7)))</formula>
    </cfRule>
    <cfRule type="containsText" dxfId="176" priority="296" operator="containsText" text="D">
      <formula>NOT(ISERROR(SEARCH("D",AD7)))</formula>
    </cfRule>
    <cfRule type="containsText" dxfId="175" priority="295" operator="containsText" text="C">
      <formula>NOT(ISERROR(SEARCH("C",AD7)))</formula>
    </cfRule>
    <cfRule type="containsText" dxfId="174" priority="294" operator="containsText" text="夜">
      <formula>NOT(ISERROR(SEARCH("夜",AD7)))</formula>
    </cfRule>
    <cfRule type="containsText" dxfId="173" priority="293" operator="containsText" text="明">
      <formula>NOT(ISERROR(SEARCH("明",AD7)))</formula>
    </cfRule>
    <cfRule type="containsText" dxfId="172" priority="292" operator="containsText" text="調">
      <formula>NOT(ISERROR(SEARCH("調",AD7)))</formula>
    </cfRule>
    <cfRule type="containsText" dxfId="171" priority="291" operator="containsText" text="有">
      <formula>NOT(ISERROR(SEARCH("有",AD7)))</formula>
    </cfRule>
    <cfRule type="containsText" dxfId="170" priority="290" operator="containsText" text="正">
      <formula>NOT(ISERROR(SEARCH("正",AD7)))</formula>
    </cfRule>
    <cfRule type="containsText" dxfId="169" priority="289" operator="containsText" text="休">
      <formula>NOT(ISERROR(SEARCH("休",AD7)))</formula>
    </cfRule>
    <cfRule type="containsText" dxfId="168" priority="288" operator="containsText" text="希">
      <formula>NOT(ISERROR(SEARCH("希",AD7)))</formula>
    </cfRule>
    <cfRule type="containsText" dxfId="167" priority="285" operator="containsText" text="A">
      <formula>NOT(ISERROR(SEARCH("A",AD7)))</formula>
    </cfRule>
    <cfRule type="containsText" dxfId="166" priority="284" operator="containsText" text="B">
      <formula>NOT(ISERROR(SEARCH("B",AD7)))</formula>
    </cfRule>
    <cfRule type="containsText" dxfId="165" priority="283" operator="containsText" text="D">
      <formula>NOT(ISERROR(SEARCH("D",AD7)))</formula>
    </cfRule>
    <cfRule type="containsText" dxfId="164" priority="282" operator="containsText" text="C">
      <formula>NOT(ISERROR(SEARCH("C",AD7)))</formula>
    </cfRule>
    <cfRule type="containsText" dxfId="163" priority="281" operator="containsText" text="夜">
      <formula>NOT(ISERROR(SEARCH("夜",AD7)))</formula>
    </cfRule>
    <cfRule type="containsText" dxfId="162" priority="280" operator="containsText" text="明">
      <formula>NOT(ISERROR(SEARCH("明",AD7)))</formula>
    </cfRule>
    <cfRule type="containsText" dxfId="161" priority="279" operator="containsText" text="調">
      <formula>NOT(ISERROR(SEARCH("調",AD7)))</formula>
    </cfRule>
    <cfRule type="containsText" dxfId="160" priority="278" operator="containsText" text="有">
      <formula>NOT(ISERROR(SEARCH("有",AD7)))</formula>
    </cfRule>
    <cfRule type="containsText" dxfId="159" priority="277" operator="containsText" text="正">
      <formula>NOT(ISERROR(SEARCH("正",AD7)))</formula>
    </cfRule>
    <cfRule type="containsText" dxfId="158" priority="276" operator="containsText" text="休">
      <formula>NOT(ISERROR(SEARCH("休",AD7)))</formula>
    </cfRule>
    <cfRule type="containsText" dxfId="157" priority="275" operator="containsText" text="希">
      <formula>NOT(ISERROR(SEARCH("希",AD7)))</formula>
    </cfRule>
    <cfRule type="containsText" dxfId="156" priority="274" operator="containsText" text="研">
      <formula>NOT(ISERROR(SEARCH("研",AD7)))</formula>
    </cfRule>
    <cfRule type="containsText" dxfId="155" priority="273" operator="containsText" text="E">
      <formula>NOT(ISERROR(SEARCH("E",AD7)))</formula>
    </cfRule>
    <cfRule type="containsText" dxfId="154" priority="272" operator="containsText" text="A">
      <formula>NOT(ISERROR(SEARCH("A",AD7)))</formula>
    </cfRule>
    <cfRule type="containsText" dxfId="153" priority="310" operator="containsText" text="B">
      <formula>NOT(ISERROR(SEARCH("B",AD7)))</formula>
    </cfRule>
  </conditionalFormatting>
  <conditionalFormatting sqref="AG7:AH7">
    <cfRule type="containsText" dxfId="152" priority="263" operator="containsText" text="休">
      <formula>NOT(ISERROR(SEARCH("休",AG7)))</formula>
    </cfRule>
    <cfRule type="containsText" dxfId="151" priority="244" operator="containsText" text="D">
      <formula>NOT(ISERROR(SEARCH("D",AG7)))</formula>
    </cfRule>
    <cfRule type="containsText" dxfId="150" priority="270" operator="containsText" text="D">
      <formula>NOT(ISERROR(SEARCH("D",AG7)))</formula>
    </cfRule>
    <cfRule type="containsText" dxfId="149" priority="269" operator="containsText" text="C">
      <formula>NOT(ISERROR(SEARCH("C",AG7)))</formula>
    </cfRule>
    <cfRule type="containsText" dxfId="148" priority="268" operator="containsText" text="夜">
      <formula>NOT(ISERROR(SEARCH("夜",AG7)))</formula>
    </cfRule>
    <cfRule type="containsText" dxfId="147" priority="267" operator="containsText" text="明">
      <formula>NOT(ISERROR(SEARCH("明",AG7)))</formula>
    </cfRule>
    <cfRule type="containsText" dxfId="146" priority="266" operator="containsText" text="調">
      <formula>NOT(ISERROR(SEARCH("調",AG7)))</formula>
    </cfRule>
    <cfRule type="containsText" dxfId="145" priority="265" operator="containsText" text="有">
      <formula>NOT(ISERROR(SEARCH("有",AG7)))</formula>
    </cfRule>
    <cfRule type="containsText" dxfId="144" priority="264" operator="containsText" text="正">
      <formula>NOT(ISERROR(SEARCH("正",AG7)))</formula>
    </cfRule>
    <cfRule type="containsText" dxfId="143" priority="234" operator="containsText" text="E">
      <formula>NOT(ISERROR(SEARCH("E",AG7)))</formula>
    </cfRule>
    <cfRule type="containsText" dxfId="142" priority="262" operator="containsText" text="希">
      <formula>NOT(ISERROR(SEARCH("希",AG7)))</formula>
    </cfRule>
    <cfRule type="containsText" dxfId="141" priority="261" operator="containsText" text="研">
      <formula>NOT(ISERROR(SEARCH("研",AG7)))</formula>
    </cfRule>
    <cfRule type="containsText" dxfId="140" priority="260" operator="containsText" text="E">
      <formula>NOT(ISERROR(SEARCH("E",AG7)))</formula>
    </cfRule>
    <cfRule type="containsText" dxfId="139" priority="259" operator="containsText" text="A">
      <formula>NOT(ISERROR(SEARCH("A",AG7)))</formula>
    </cfRule>
    <cfRule type="containsText" dxfId="138" priority="258" operator="containsText" text="B">
      <formula>NOT(ISERROR(SEARCH("B",AG7)))</formula>
    </cfRule>
    <cfRule type="containsText" dxfId="137" priority="257" operator="containsText" text="D">
      <formula>NOT(ISERROR(SEARCH("D",AG7)))</formula>
    </cfRule>
    <cfRule type="containsText" dxfId="136" priority="256" operator="containsText" text="C">
      <formula>NOT(ISERROR(SEARCH("C",AG7)))</formula>
    </cfRule>
    <cfRule type="containsText" dxfId="135" priority="255" operator="containsText" text="夜">
      <formula>NOT(ISERROR(SEARCH("夜",AG7)))</formula>
    </cfRule>
    <cfRule type="containsText" dxfId="134" priority="254" operator="containsText" text="明">
      <formula>NOT(ISERROR(SEARCH("明",AG7)))</formula>
    </cfRule>
    <cfRule type="containsText" dxfId="133" priority="253" operator="containsText" text="調">
      <formula>NOT(ISERROR(SEARCH("調",AG7)))</formula>
    </cfRule>
    <cfRule type="containsText" dxfId="132" priority="252" operator="containsText" text="有">
      <formula>NOT(ISERROR(SEARCH("有",AG7)))</formula>
    </cfRule>
    <cfRule type="containsText" dxfId="131" priority="251" operator="containsText" text="正">
      <formula>NOT(ISERROR(SEARCH("正",AG7)))</formula>
    </cfRule>
    <cfRule type="containsText" dxfId="130" priority="250" operator="containsText" text="休">
      <formula>NOT(ISERROR(SEARCH("休",AG7)))</formula>
    </cfRule>
    <cfRule type="containsText" dxfId="129" priority="249" operator="containsText" text="希">
      <formula>NOT(ISERROR(SEARCH("希",AG7)))</formula>
    </cfRule>
    <cfRule type="containsText" dxfId="128" priority="248" operator="containsText" text="研">
      <formula>NOT(ISERROR(SEARCH("研",AG7)))</formula>
    </cfRule>
    <cfRule type="containsText" dxfId="127" priority="247" operator="containsText" text="E">
      <formula>NOT(ISERROR(SEARCH("E",AG7)))</formula>
    </cfRule>
    <cfRule type="containsText" dxfId="126" priority="246" operator="containsText" text="A">
      <formula>NOT(ISERROR(SEARCH("A",AG7)))</formula>
    </cfRule>
    <cfRule type="containsText" dxfId="125" priority="245" operator="containsText" text="B">
      <formula>NOT(ISERROR(SEARCH("B",AG7)))</formula>
    </cfRule>
    <cfRule type="containsText" dxfId="124" priority="235" operator="containsText" text="研">
      <formula>NOT(ISERROR(SEARCH("研",AG7)))</formula>
    </cfRule>
    <cfRule type="containsText" dxfId="123" priority="271" operator="containsText" text="B">
      <formula>NOT(ISERROR(SEARCH("B",AG7)))</formula>
    </cfRule>
    <cfRule type="containsText" dxfId="122" priority="236" operator="containsText" text="希">
      <formula>NOT(ISERROR(SEARCH("希",AG7)))</formula>
    </cfRule>
    <cfRule type="containsText" dxfId="121" priority="237" operator="containsText" text="休">
      <formula>NOT(ISERROR(SEARCH("休",AG7)))</formula>
    </cfRule>
    <cfRule type="containsText" dxfId="120" priority="238" operator="containsText" text="正">
      <formula>NOT(ISERROR(SEARCH("正",AG7)))</formula>
    </cfRule>
    <cfRule type="containsText" dxfId="119" priority="239" operator="containsText" text="有">
      <formula>NOT(ISERROR(SEARCH("有",AG7)))</formula>
    </cfRule>
    <cfRule type="containsText" dxfId="118" priority="240" operator="containsText" text="調">
      <formula>NOT(ISERROR(SEARCH("調",AG7)))</formula>
    </cfRule>
    <cfRule type="containsText" dxfId="117" priority="241" operator="containsText" text="明">
      <formula>NOT(ISERROR(SEARCH("明",AG7)))</formula>
    </cfRule>
    <cfRule type="containsText" dxfId="116" priority="242" operator="containsText" text="夜">
      <formula>NOT(ISERROR(SEARCH("夜",AG7)))</formula>
    </cfRule>
    <cfRule type="containsText" dxfId="115" priority="243" operator="containsText" text="C">
      <formula>NOT(ISERROR(SEARCH("C",AG7)))</formula>
    </cfRule>
    <cfRule type="containsText" dxfId="114" priority="233" operator="containsText" text="A">
      <formula>NOT(ISERROR(SEARCH("A",AG7)))</formula>
    </cfRule>
  </conditionalFormatting>
  <conditionalFormatting sqref="AI11">
    <cfRule type="containsText" dxfId="113" priority="533" operator="containsText" text="C">
      <formula>NOT(ISERROR(SEARCH("C",AI11)))</formula>
    </cfRule>
    <cfRule type="containsText" dxfId="112" priority="534" operator="containsText" text="D">
      <formula>NOT(ISERROR(SEARCH("D",AI11)))</formula>
    </cfRule>
    <cfRule type="containsText" dxfId="111" priority="535" operator="containsText" text="B">
      <formula>NOT(ISERROR(SEARCH("B",AI11)))</formula>
    </cfRule>
    <cfRule type="containsText" dxfId="110" priority="536" operator="containsText" text="A">
      <formula>NOT(ISERROR(SEARCH("A",AI11)))</formula>
    </cfRule>
    <cfRule type="containsText" dxfId="109" priority="532" operator="containsText" text="夜">
      <formula>NOT(ISERROR(SEARCH("夜",AI11)))</formula>
    </cfRule>
    <cfRule type="containsText" dxfId="108" priority="531" operator="containsText" text="明">
      <formula>NOT(ISERROR(SEARCH("明",AI11)))</formula>
    </cfRule>
    <cfRule type="containsText" dxfId="107" priority="530" operator="containsText" text="調">
      <formula>NOT(ISERROR(SEARCH("調",AI11)))</formula>
    </cfRule>
    <cfRule type="containsText" dxfId="106" priority="529" operator="containsText" text="有">
      <formula>NOT(ISERROR(SEARCH("有",AI11)))</formula>
    </cfRule>
    <cfRule type="containsText" dxfId="105" priority="528" operator="containsText" text="正">
      <formula>NOT(ISERROR(SEARCH("正",AI11)))</formula>
    </cfRule>
    <cfRule type="containsText" dxfId="104" priority="527" operator="containsText" text="休">
      <formula>NOT(ISERROR(SEARCH("休",AI11)))</formula>
    </cfRule>
    <cfRule type="containsText" dxfId="103" priority="526" operator="containsText" text="希">
      <formula>NOT(ISERROR(SEARCH("希",AI11)))</formula>
    </cfRule>
    <cfRule type="containsText" dxfId="102" priority="525" operator="containsText" text="研">
      <formula>NOT(ISERROR(SEARCH("研",AI11)))</formula>
    </cfRule>
    <cfRule type="containsText" dxfId="101" priority="524" operator="containsText" text="E">
      <formula>NOT(ISERROR(SEARCH("E",AI11)))</formula>
    </cfRule>
    <cfRule type="containsText" priority="522" operator="containsText" text="G">
      <formula>NOT(ISERROR(SEARCH("G",AI11)))</formula>
    </cfRule>
    <cfRule type="containsText" dxfId="100" priority="523" operator="containsText" text="F">
      <formula>NOT(ISERROR(SEARCH("F",AI11)))</formula>
    </cfRule>
  </conditionalFormatting>
  <conditionalFormatting sqref="AI40">
    <cfRule type="containsText" dxfId="99" priority="407" stopIfTrue="1" operator="containsText" text="不成立">
      <formula>NOT(ISERROR(SEARCH("不成立",AI40)))</formula>
    </cfRule>
    <cfRule type="containsText" dxfId="98" priority="406" stopIfTrue="1" operator="containsText" text="30分残業">
      <formula>NOT(ISERROR(SEARCH("30分残業",AI40)))</formula>
    </cfRule>
  </conditionalFormatting>
  <conditionalFormatting sqref="AY6:AY30">
    <cfRule type="containsText" dxfId="97" priority="3" operator="containsText" text="NG">
      <formula>NOT(ISERROR(SEARCH("NG",AY6)))</formula>
    </cfRule>
  </conditionalFormatting>
  <pageMargins left="0.7" right="0.7" top="0.75" bottom="0.75" header="0.3" footer="0.3"/>
  <pageSetup paperSize="9" orientation="portrait" horizontalDpi="0" verticalDpi="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928C74-CF37-224F-9E9F-E9506D615531}">
          <x14:formula1>
            <xm:f>リスト表!$E$2:$E$5</xm:f>
          </x14:formula1>
          <xm:sqref>C6:C12 C14:C30</xm:sqref>
        </x14:dataValidation>
        <x14:dataValidation type="list" allowBlank="1" showInputMessage="1" showErrorMessage="1" xr:uid="{3AABCA6E-0B63-6247-9289-A49FB841F9C8}">
          <x14:formula1>
            <xm:f>リスト表!$B$2:$B$7</xm:f>
          </x14:formula1>
          <xm:sqref>E22 G22:H22</xm:sqref>
        </x14:dataValidation>
        <x14:dataValidation type="list" allowBlank="1" showInputMessage="1" showErrorMessage="1" xr:uid="{FDA6E276-9CE3-9E42-8015-CFC42119A1AF}">
          <x14:formula1>
            <xm:f>リスト表!$A$2:$A$15</xm:f>
          </x14:formula1>
          <xm:sqref>E6:AI10 AD28 I28 G28 AA27 F27 AA25 AD25 F25 I25 I19:AI22 E19:H21 F22 E12:AI18 E11:AH11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C944F-2D24-5E4E-9557-E6484A6A73BD}">
  <sheetPr codeName="Sheet5"/>
  <dimension ref="A1:BF104"/>
  <sheetViews>
    <sheetView zoomScale="110" zoomScaleNormal="110" workbookViewId="0">
      <pane xSplit="3" ySplit="5" topLeftCell="Y6" activePane="bottomRight" state="frozen"/>
      <selection pane="topRight" activeCell="D1" sqref="D1"/>
      <selection pane="bottomLeft" activeCell="A6" sqref="A6"/>
      <selection pane="bottomRight" activeCell="C12" sqref="C12"/>
    </sheetView>
  </sheetViews>
  <sheetFormatPr baseColWidth="10" defaultColWidth="9" defaultRowHeight="17"/>
  <cols>
    <col min="1" max="1" width="6.5" style="132" customWidth="1"/>
    <col min="2" max="2" width="18.83203125" style="132" customWidth="1"/>
    <col min="3" max="3" width="22" style="132" customWidth="1"/>
    <col min="4" max="34" width="4.6640625" style="132" customWidth="1"/>
    <col min="35" max="35" width="3.6640625" style="132" customWidth="1"/>
    <col min="36" max="36" width="8.33203125" style="132" customWidth="1"/>
    <col min="37" max="43" width="8.6640625" style="132" customWidth="1"/>
    <col min="44" max="44" width="8.33203125" style="132" customWidth="1"/>
    <col min="45" max="45" width="8" style="132" customWidth="1"/>
    <col min="46" max="46" width="8.33203125" style="132" customWidth="1"/>
    <col min="47" max="47" width="8.6640625" style="132" customWidth="1"/>
    <col min="48" max="48" width="10.33203125" style="132" customWidth="1"/>
    <col min="49" max="49" width="14.1640625" style="132" customWidth="1"/>
    <col min="50" max="50" width="11" style="132" customWidth="1"/>
    <col min="51" max="16384" width="9" style="132"/>
  </cols>
  <sheetData>
    <row r="1" spans="1:50" ht="7" customHeight="1">
      <c r="M1" s="177"/>
      <c r="O1" s="177"/>
    </row>
    <row r="2" spans="1:50" ht="34" customHeight="1" thickBot="1">
      <c r="B2" s="276" t="s">
        <v>60</v>
      </c>
      <c r="C2" s="133" t="s">
        <v>41</v>
      </c>
      <c r="D2" s="370">
        <f>入力フォーム!G2</f>
        <v>46143</v>
      </c>
      <c r="E2" s="370"/>
      <c r="F2" s="370"/>
      <c r="G2" s="370"/>
      <c r="H2" s="134" t="s">
        <v>42</v>
      </c>
      <c r="I2" s="371">
        <f>EOMONTH(D2,0)</f>
        <v>46173</v>
      </c>
      <c r="J2" s="371"/>
      <c r="K2" s="371"/>
      <c r="L2" s="371"/>
      <c r="M2" s="134"/>
      <c r="N2" s="135"/>
      <c r="O2" s="136"/>
      <c r="P2" s="136"/>
      <c r="Q2" s="136"/>
      <c r="R2" s="136"/>
      <c r="S2" s="136"/>
      <c r="T2" s="136"/>
      <c r="U2" s="136"/>
      <c r="V2" s="136"/>
      <c r="W2" s="136"/>
      <c r="X2" s="136"/>
      <c r="Y2" s="136"/>
      <c r="Z2" s="134"/>
      <c r="AA2" s="134"/>
      <c r="AB2" s="134"/>
      <c r="AC2" s="134"/>
      <c r="AD2" s="134"/>
      <c r="AE2" s="134"/>
      <c r="AF2" s="134"/>
      <c r="AG2" s="134"/>
      <c r="AH2" s="134"/>
      <c r="AK2" s="179"/>
      <c r="AL2" s="179"/>
      <c r="AP2" s="180"/>
    </row>
    <row r="3" spans="1:50" ht="28" customHeight="1" thickBot="1">
      <c r="C3" s="137"/>
      <c r="D3" s="138"/>
      <c r="E3" s="139"/>
      <c r="G3" s="139"/>
      <c r="H3" s="139"/>
      <c r="I3" s="139"/>
      <c r="J3" s="139"/>
      <c r="K3" s="140"/>
      <c r="L3" s="141"/>
      <c r="M3" s="142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4"/>
      <c r="AA3" s="346" t="s">
        <v>50</v>
      </c>
      <c r="AB3" s="346"/>
      <c r="AC3" s="346"/>
      <c r="AD3" s="346"/>
      <c r="AE3" s="346"/>
      <c r="AF3" s="346"/>
      <c r="AG3" s="346"/>
      <c r="AH3" s="346"/>
      <c r="AX3" s="182">
        <f>MONTH(D2)</f>
        <v>5</v>
      </c>
    </row>
    <row r="4" spans="1:50" ht="27.75" customHeight="1">
      <c r="A4" s="183"/>
      <c r="B4" s="347"/>
      <c r="C4" s="348"/>
      <c r="D4" s="171">
        <f>D2</f>
        <v>46143</v>
      </c>
      <c r="E4" s="172">
        <f>D4+1</f>
        <v>46144</v>
      </c>
      <c r="F4" s="172">
        <f t="shared" ref="F4:AH4" si="0">E4+1</f>
        <v>46145</v>
      </c>
      <c r="G4" s="172">
        <f t="shared" si="0"/>
        <v>46146</v>
      </c>
      <c r="H4" s="172">
        <f t="shared" si="0"/>
        <v>46147</v>
      </c>
      <c r="I4" s="172">
        <f t="shared" si="0"/>
        <v>46148</v>
      </c>
      <c r="J4" s="172">
        <f t="shared" si="0"/>
        <v>46149</v>
      </c>
      <c r="K4" s="172">
        <f t="shared" si="0"/>
        <v>46150</v>
      </c>
      <c r="L4" s="172">
        <f t="shared" si="0"/>
        <v>46151</v>
      </c>
      <c r="M4" s="172">
        <f t="shared" si="0"/>
        <v>46152</v>
      </c>
      <c r="N4" s="172">
        <f t="shared" si="0"/>
        <v>46153</v>
      </c>
      <c r="O4" s="172">
        <f t="shared" si="0"/>
        <v>46154</v>
      </c>
      <c r="P4" s="172">
        <f t="shared" si="0"/>
        <v>46155</v>
      </c>
      <c r="Q4" s="172">
        <f t="shared" si="0"/>
        <v>46156</v>
      </c>
      <c r="R4" s="172">
        <f t="shared" si="0"/>
        <v>46157</v>
      </c>
      <c r="S4" s="172">
        <f t="shared" si="0"/>
        <v>46158</v>
      </c>
      <c r="T4" s="172">
        <f t="shared" si="0"/>
        <v>46159</v>
      </c>
      <c r="U4" s="172">
        <f t="shared" si="0"/>
        <v>46160</v>
      </c>
      <c r="V4" s="172">
        <f t="shared" si="0"/>
        <v>46161</v>
      </c>
      <c r="W4" s="172">
        <f t="shared" si="0"/>
        <v>46162</v>
      </c>
      <c r="X4" s="173">
        <f t="shared" si="0"/>
        <v>46163</v>
      </c>
      <c r="Y4" s="172">
        <f t="shared" si="0"/>
        <v>46164</v>
      </c>
      <c r="Z4" s="172">
        <f t="shared" si="0"/>
        <v>46165</v>
      </c>
      <c r="AA4" s="172">
        <f t="shared" si="0"/>
        <v>46166</v>
      </c>
      <c r="AB4" s="173">
        <f t="shared" si="0"/>
        <v>46167</v>
      </c>
      <c r="AC4" s="174">
        <f t="shared" si="0"/>
        <v>46168</v>
      </c>
      <c r="AD4" s="172">
        <f t="shared" si="0"/>
        <v>46169</v>
      </c>
      <c r="AE4" s="172">
        <f t="shared" si="0"/>
        <v>46170</v>
      </c>
      <c r="AF4" s="175">
        <f t="shared" si="0"/>
        <v>46171</v>
      </c>
      <c r="AG4" s="173">
        <f t="shared" si="0"/>
        <v>46172</v>
      </c>
      <c r="AH4" s="176">
        <f t="shared" si="0"/>
        <v>46173</v>
      </c>
      <c r="AI4" s="184"/>
      <c r="AK4" s="185"/>
      <c r="AL4" s="185"/>
      <c r="AM4" s="185"/>
      <c r="AN4" s="185"/>
      <c r="AO4" s="185"/>
      <c r="AP4" s="185"/>
      <c r="AQ4" s="185"/>
      <c r="AU4" s="185"/>
      <c r="AV4" s="185"/>
      <c r="AW4" s="185"/>
    </row>
    <row r="5" spans="1:50" ht="27.75" customHeight="1" thickBot="1">
      <c r="A5" s="186"/>
      <c r="B5" s="349"/>
      <c r="C5" s="350"/>
      <c r="D5" s="286" t="str">
        <f>TEXT(D4,"aaa")</f>
        <v>金</v>
      </c>
      <c r="E5" s="145" t="str">
        <f>TEXT(E4,"aaa")</f>
        <v>土</v>
      </c>
      <c r="F5" s="145" t="str">
        <f t="shared" ref="F5:AH5" si="1">TEXT(F4,"aaa")</f>
        <v>日</v>
      </c>
      <c r="G5" s="148" t="str">
        <f t="shared" si="1"/>
        <v>月</v>
      </c>
      <c r="H5" s="148" t="str">
        <f t="shared" si="1"/>
        <v>火</v>
      </c>
      <c r="I5" s="148" t="str">
        <f t="shared" si="1"/>
        <v>水</v>
      </c>
      <c r="J5" s="145" t="str">
        <f t="shared" si="1"/>
        <v>木</v>
      </c>
      <c r="K5" s="145" t="str">
        <f t="shared" si="1"/>
        <v>金</v>
      </c>
      <c r="L5" s="145" t="str">
        <f t="shared" si="1"/>
        <v>土</v>
      </c>
      <c r="M5" s="145" t="str">
        <f t="shared" si="1"/>
        <v>日</v>
      </c>
      <c r="N5" s="147" t="str">
        <f t="shared" si="1"/>
        <v>月</v>
      </c>
      <c r="O5" s="147" t="str">
        <f t="shared" si="1"/>
        <v>火</v>
      </c>
      <c r="P5" s="145" t="str">
        <f t="shared" si="1"/>
        <v>水</v>
      </c>
      <c r="Q5" s="145" t="str">
        <f t="shared" si="1"/>
        <v>木</v>
      </c>
      <c r="R5" s="147" t="str">
        <f t="shared" si="1"/>
        <v>金</v>
      </c>
      <c r="S5" s="145" t="str">
        <f t="shared" si="1"/>
        <v>土</v>
      </c>
      <c r="T5" s="145" t="str">
        <f t="shared" si="1"/>
        <v>日</v>
      </c>
      <c r="U5" s="145" t="str">
        <f t="shared" si="1"/>
        <v>月</v>
      </c>
      <c r="V5" s="145" t="str">
        <f t="shared" si="1"/>
        <v>火</v>
      </c>
      <c r="W5" s="147" t="str">
        <f t="shared" si="1"/>
        <v>水</v>
      </c>
      <c r="X5" s="145" t="str">
        <f t="shared" si="1"/>
        <v>木</v>
      </c>
      <c r="Y5" s="145" t="str">
        <f t="shared" si="1"/>
        <v>金</v>
      </c>
      <c r="Z5" s="147" t="str">
        <f t="shared" si="1"/>
        <v>土</v>
      </c>
      <c r="AA5" s="145" t="str">
        <f t="shared" si="1"/>
        <v>日</v>
      </c>
      <c r="AB5" s="145" t="str">
        <f t="shared" si="1"/>
        <v>月</v>
      </c>
      <c r="AC5" s="145" t="str">
        <f t="shared" si="1"/>
        <v>火</v>
      </c>
      <c r="AD5" s="145" t="str">
        <f t="shared" si="1"/>
        <v>水</v>
      </c>
      <c r="AE5" s="149" t="str">
        <f t="shared" si="1"/>
        <v>木</v>
      </c>
      <c r="AF5" s="150" t="str">
        <f t="shared" si="1"/>
        <v>金</v>
      </c>
      <c r="AG5" s="147" t="str">
        <f t="shared" si="1"/>
        <v>土</v>
      </c>
      <c r="AH5" s="146" t="str">
        <f t="shared" si="1"/>
        <v>日</v>
      </c>
      <c r="AI5" s="188"/>
      <c r="AJ5" s="272" t="s">
        <v>14</v>
      </c>
      <c r="AK5" s="190" t="s">
        <v>27</v>
      </c>
      <c r="AL5" s="190" t="s">
        <v>26</v>
      </c>
      <c r="AM5" s="191" t="s">
        <v>1</v>
      </c>
      <c r="AN5" s="192" t="s">
        <v>0</v>
      </c>
      <c r="AO5" s="192" t="s">
        <v>4</v>
      </c>
      <c r="AP5" s="272" t="s">
        <v>57</v>
      </c>
      <c r="AQ5" s="193" t="s">
        <v>82</v>
      </c>
      <c r="AR5" s="273" t="s">
        <v>78</v>
      </c>
      <c r="AS5" s="274" t="s">
        <v>79</v>
      </c>
      <c r="AT5" s="275" t="s">
        <v>15</v>
      </c>
      <c r="AU5" s="197" t="s">
        <v>2</v>
      </c>
      <c r="AV5" s="198" t="s">
        <v>44</v>
      </c>
      <c r="AW5" s="198" t="s">
        <v>43</v>
      </c>
      <c r="AX5" s="248" t="s">
        <v>45</v>
      </c>
    </row>
    <row r="6" spans="1:50" ht="35.25" customHeight="1">
      <c r="A6" s="200"/>
      <c r="B6" s="151" t="s">
        <v>29</v>
      </c>
      <c r="C6" s="152" t="s">
        <v>5</v>
      </c>
      <c r="D6" s="302"/>
      <c r="E6" s="303"/>
      <c r="F6" s="303"/>
      <c r="G6" s="303"/>
      <c r="H6" s="303"/>
      <c r="I6" s="304"/>
      <c r="J6" s="303"/>
      <c r="K6" s="303"/>
      <c r="L6" s="303"/>
      <c r="M6" s="303"/>
      <c r="N6" s="304"/>
      <c r="O6" s="293"/>
      <c r="P6" s="303"/>
      <c r="Q6" s="303"/>
      <c r="R6" s="303"/>
      <c r="S6" s="303"/>
      <c r="T6" s="304"/>
      <c r="U6" s="303"/>
      <c r="V6" s="303"/>
      <c r="W6" s="304"/>
      <c r="X6" s="303"/>
      <c r="Y6" s="303"/>
      <c r="Z6" s="303"/>
      <c r="AA6" s="303"/>
      <c r="AB6" s="303"/>
      <c r="AC6" s="303"/>
      <c r="AD6" s="304"/>
      <c r="AE6" s="303"/>
      <c r="AF6" s="303"/>
      <c r="AG6" s="303"/>
      <c r="AH6" s="305"/>
      <c r="AI6" s="204"/>
      <c r="AJ6" s="206">
        <f>COUNTIF($D6:$AH6,"A")</f>
        <v>0</v>
      </c>
      <c r="AK6" s="206">
        <f>COUNTIF($D6:$AH6,"B")</f>
        <v>0</v>
      </c>
      <c r="AL6" s="206">
        <f>COUNTIF($D6:$AH6,"D")</f>
        <v>0</v>
      </c>
      <c r="AM6" s="206">
        <f>COUNTIF($D6:$AH6,"C")</f>
        <v>0</v>
      </c>
      <c r="AN6" s="206">
        <f>COUNTIF($D6:$AH6,"夜")</f>
        <v>0</v>
      </c>
      <c r="AO6" s="206">
        <f>COUNTIF($D6:$AH6,"明")</f>
        <v>0</v>
      </c>
      <c r="AP6" s="206">
        <f>+COUNTIF($D6:$AH6,"E")</f>
        <v>0</v>
      </c>
      <c r="AQ6" s="206">
        <f>COUNTIF($D6:$AH6,"研")+COUNTIF($D6:$AH6,"健")</f>
        <v>0</v>
      </c>
      <c r="AR6" s="206">
        <f>COUNTIF($D6:$AH6,"調1")</f>
        <v>0</v>
      </c>
      <c r="AS6" s="206">
        <f>COUNTIF($D6:$AH6,"調2")</f>
        <v>0</v>
      </c>
      <c r="AT6" s="206">
        <f>COUNTIF($D6:$AH6,"有")</f>
        <v>0</v>
      </c>
      <c r="AU6" s="206">
        <f>COUNTIF($D6:$AH6,"休")+COUNTIF($D6:$AH6,"希")</f>
        <v>0</v>
      </c>
      <c r="AV6" s="206">
        <f>SUM(AJ6:AT6)</f>
        <v>0</v>
      </c>
      <c r="AW6" s="206"/>
      <c r="AX6" s="134" t="str">
        <f>IF($AX$3=2,IF(AU6=8,"OK","NG"),IF(AU6=9,"OK","NG"))</f>
        <v>NG</v>
      </c>
    </row>
    <row r="7" spans="1:50" ht="35.25" customHeight="1">
      <c r="A7" s="200"/>
      <c r="B7" s="155" t="s">
        <v>34</v>
      </c>
      <c r="C7" s="156" t="s">
        <v>8</v>
      </c>
      <c r="D7" s="291"/>
      <c r="E7" s="290"/>
      <c r="F7" s="291"/>
      <c r="G7" s="291"/>
      <c r="H7" s="291"/>
      <c r="I7" s="291"/>
      <c r="J7" s="306"/>
      <c r="K7" s="307"/>
      <c r="L7" s="307"/>
      <c r="M7" s="291"/>
      <c r="N7" s="291"/>
      <c r="O7" s="290"/>
      <c r="P7" s="291"/>
      <c r="Q7" s="307"/>
      <c r="R7" s="307"/>
      <c r="S7" s="307"/>
      <c r="T7" s="307"/>
      <c r="U7" s="291"/>
      <c r="V7" s="291"/>
      <c r="W7" s="292"/>
      <c r="X7" s="291"/>
      <c r="Y7" s="307"/>
      <c r="Z7" s="307"/>
      <c r="AA7" s="291"/>
      <c r="AB7" s="306"/>
      <c r="AC7" s="291"/>
      <c r="AD7" s="291"/>
      <c r="AE7" s="292"/>
      <c r="AF7" s="291"/>
      <c r="AG7" s="290"/>
      <c r="AH7" s="305"/>
      <c r="AI7" s="204"/>
      <c r="AJ7" s="206">
        <f t="shared" ref="AJ7:AJ17" si="2">COUNTIF($D7:$AH7,"A")</f>
        <v>0</v>
      </c>
      <c r="AK7" s="206">
        <f t="shared" ref="AK7:AK25" si="3">COUNTIF($D7:$AH7,"B")</f>
        <v>0</v>
      </c>
      <c r="AL7" s="206">
        <f t="shared" ref="AL7:AL25" si="4">COUNTIF($D7:$AH7,"D")</f>
        <v>0</v>
      </c>
      <c r="AM7" s="206">
        <f t="shared" ref="AM7:AM17" si="5">COUNTIF($D7:$AH7,"C")</f>
        <v>0</v>
      </c>
      <c r="AN7" s="206">
        <f t="shared" ref="AN7:AN17" si="6">COUNTIF($D7:$AH7,"夜")</f>
        <v>0</v>
      </c>
      <c r="AO7" s="206">
        <f t="shared" ref="AO7:AO17" si="7">COUNTIF($D7:$AH7,"明")</f>
        <v>0</v>
      </c>
      <c r="AP7" s="206">
        <f t="shared" ref="AP7:AP25" si="8">+COUNTIF($D7:$AH7,"E")</f>
        <v>0</v>
      </c>
      <c r="AQ7" s="206">
        <f t="shared" ref="AQ7:AQ26" si="9">COUNTIF($D7:$AH7,"研")+COUNTIF($D7:$AH7,"健")</f>
        <v>0</v>
      </c>
      <c r="AR7" s="206">
        <f t="shared" ref="AR7:AR25" si="10">COUNTIF($D7:$AH7,"調1")</f>
        <v>0</v>
      </c>
      <c r="AS7" s="206">
        <f t="shared" ref="AS7:AS25" si="11">COUNTIF($D7:$AH7,"調2")</f>
        <v>0</v>
      </c>
      <c r="AT7" s="206">
        <f t="shared" ref="AT7:AT17" si="12">COUNTIF($D7:$AH7,"有")</f>
        <v>0</v>
      </c>
      <c r="AU7" s="206">
        <f t="shared" ref="AU7:AU17" si="13">COUNTIF($D7:$AH7,"休")+COUNTIF($D7:$AH7,"希")</f>
        <v>0</v>
      </c>
      <c r="AV7" s="206">
        <f t="shared" ref="AV7:AV26" si="14">SUM(AJ7:AT7)</f>
        <v>0</v>
      </c>
      <c r="AW7" s="206"/>
      <c r="AX7" s="134" t="str">
        <f t="shared" ref="AX7:AX9" si="15">IF($AX$3=2,IF(AU7=8,"OK","NG"),IF(AU7=9,"OK","NG"))</f>
        <v>NG</v>
      </c>
    </row>
    <row r="8" spans="1:50" ht="35.25" customHeight="1">
      <c r="A8" s="200"/>
      <c r="B8" s="155" t="s">
        <v>34</v>
      </c>
      <c r="C8" s="156" t="s">
        <v>6</v>
      </c>
      <c r="D8" s="291"/>
      <c r="E8" s="291"/>
      <c r="F8" s="291"/>
      <c r="G8" s="291"/>
      <c r="H8" s="291"/>
      <c r="I8" s="291"/>
      <c r="J8" s="291"/>
      <c r="K8" s="291"/>
      <c r="L8" s="291"/>
      <c r="M8" s="291"/>
      <c r="N8" s="291"/>
      <c r="O8" s="291"/>
      <c r="P8" s="291"/>
      <c r="Q8" s="291"/>
      <c r="R8" s="291"/>
      <c r="S8" s="291"/>
      <c r="T8" s="291"/>
      <c r="U8" s="291"/>
      <c r="V8" s="291"/>
      <c r="W8" s="291"/>
      <c r="X8" s="291"/>
      <c r="Y8" s="291"/>
      <c r="Z8" s="291"/>
      <c r="AA8" s="291"/>
      <c r="AB8" s="291"/>
      <c r="AC8" s="291"/>
      <c r="AD8" s="291"/>
      <c r="AE8" s="291"/>
      <c r="AF8" s="291"/>
      <c r="AG8" s="291"/>
      <c r="AH8" s="305"/>
      <c r="AI8" s="204"/>
      <c r="AJ8" s="206">
        <f t="shared" si="2"/>
        <v>0</v>
      </c>
      <c r="AK8" s="206">
        <f t="shared" si="3"/>
        <v>0</v>
      </c>
      <c r="AL8" s="206">
        <f t="shared" si="4"/>
        <v>0</v>
      </c>
      <c r="AM8" s="206">
        <f t="shared" si="5"/>
        <v>0</v>
      </c>
      <c r="AN8" s="206">
        <f t="shared" si="6"/>
        <v>0</v>
      </c>
      <c r="AO8" s="206">
        <f t="shared" si="7"/>
        <v>0</v>
      </c>
      <c r="AP8" s="206">
        <f t="shared" si="8"/>
        <v>0</v>
      </c>
      <c r="AQ8" s="206">
        <f t="shared" si="9"/>
        <v>0</v>
      </c>
      <c r="AR8" s="206">
        <f t="shared" si="10"/>
        <v>0</v>
      </c>
      <c r="AS8" s="206">
        <f t="shared" si="11"/>
        <v>0</v>
      </c>
      <c r="AT8" s="206">
        <f t="shared" si="12"/>
        <v>0</v>
      </c>
      <c r="AU8" s="206">
        <f t="shared" si="13"/>
        <v>0</v>
      </c>
      <c r="AV8" s="206">
        <f t="shared" si="14"/>
        <v>0</v>
      </c>
      <c r="AW8" s="206"/>
      <c r="AX8" s="134" t="str">
        <f t="shared" si="15"/>
        <v>NG</v>
      </c>
    </row>
    <row r="9" spans="1:50" ht="36" customHeight="1">
      <c r="A9" s="200"/>
      <c r="B9" s="155" t="s">
        <v>34</v>
      </c>
      <c r="C9" s="156" t="s">
        <v>28</v>
      </c>
      <c r="D9" s="289"/>
      <c r="E9" s="291"/>
      <c r="F9" s="291"/>
      <c r="G9" s="291"/>
      <c r="H9" s="292"/>
      <c r="I9" s="292"/>
      <c r="J9" s="291"/>
      <c r="K9" s="291"/>
      <c r="L9" s="291"/>
      <c r="M9" s="291"/>
      <c r="N9" s="290"/>
      <c r="O9" s="291"/>
      <c r="P9" s="290"/>
      <c r="Q9" s="290"/>
      <c r="R9" s="291"/>
      <c r="S9" s="291"/>
      <c r="T9" s="291"/>
      <c r="U9" s="291"/>
      <c r="V9" s="292"/>
      <c r="W9" s="292"/>
      <c r="X9" s="291"/>
      <c r="Y9" s="291"/>
      <c r="Z9" s="291"/>
      <c r="AA9" s="291"/>
      <c r="AB9" s="291"/>
      <c r="AC9" s="292"/>
      <c r="AD9" s="292"/>
      <c r="AE9" s="291"/>
      <c r="AF9" s="291"/>
      <c r="AG9" s="291"/>
      <c r="AH9" s="308"/>
      <c r="AI9" s="204"/>
      <c r="AJ9" s="206">
        <f t="shared" si="2"/>
        <v>0</v>
      </c>
      <c r="AK9" s="206">
        <f t="shared" si="3"/>
        <v>0</v>
      </c>
      <c r="AL9" s="206">
        <f t="shared" si="4"/>
        <v>0</v>
      </c>
      <c r="AM9" s="206">
        <f t="shared" si="5"/>
        <v>0</v>
      </c>
      <c r="AN9" s="206">
        <f t="shared" si="6"/>
        <v>0</v>
      </c>
      <c r="AO9" s="206">
        <f t="shared" si="7"/>
        <v>0</v>
      </c>
      <c r="AP9" s="206">
        <f t="shared" si="8"/>
        <v>0</v>
      </c>
      <c r="AQ9" s="206">
        <f t="shared" si="9"/>
        <v>0</v>
      </c>
      <c r="AR9" s="206">
        <f t="shared" si="10"/>
        <v>0</v>
      </c>
      <c r="AS9" s="206">
        <f t="shared" si="11"/>
        <v>0</v>
      </c>
      <c r="AT9" s="206">
        <f t="shared" si="12"/>
        <v>0</v>
      </c>
      <c r="AU9" s="206">
        <f t="shared" si="13"/>
        <v>0</v>
      </c>
      <c r="AV9" s="206">
        <f t="shared" si="14"/>
        <v>0</v>
      </c>
      <c r="AW9" s="206"/>
      <c r="AX9" s="134" t="str">
        <f t="shared" si="15"/>
        <v>NG</v>
      </c>
    </row>
    <row r="10" spans="1:50" ht="36" customHeight="1">
      <c r="A10" s="200"/>
      <c r="B10" s="155" t="s">
        <v>34</v>
      </c>
      <c r="C10" s="163" t="s">
        <v>56</v>
      </c>
      <c r="D10" s="309"/>
      <c r="E10" s="292"/>
      <c r="F10" s="307"/>
      <c r="G10" s="307"/>
      <c r="H10" s="291"/>
      <c r="I10" s="307"/>
      <c r="J10" s="307"/>
      <c r="K10" s="292"/>
      <c r="L10" s="292"/>
      <c r="M10" s="307"/>
      <c r="N10" s="307"/>
      <c r="O10" s="307"/>
      <c r="P10" s="307"/>
      <c r="Q10" s="292"/>
      <c r="R10" s="292"/>
      <c r="S10" s="292"/>
      <c r="T10" s="307"/>
      <c r="U10" s="307"/>
      <c r="V10" s="291"/>
      <c r="W10" s="291"/>
      <c r="X10" s="292"/>
      <c r="Y10" s="292"/>
      <c r="Z10" s="292"/>
      <c r="AA10" s="307"/>
      <c r="AB10" s="307"/>
      <c r="AC10" s="291"/>
      <c r="AD10" s="307"/>
      <c r="AE10" s="307"/>
      <c r="AF10" s="292"/>
      <c r="AG10" s="292"/>
      <c r="AH10" s="305"/>
      <c r="AI10" s="204"/>
      <c r="AJ10" s="206">
        <f t="shared" si="2"/>
        <v>0</v>
      </c>
      <c r="AK10" s="206">
        <f t="shared" si="3"/>
        <v>0</v>
      </c>
      <c r="AL10" s="206">
        <f t="shared" si="4"/>
        <v>0</v>
      </c>
      <c r="AM10" s="206">
        <f t="shared" si="5"/>
        <v>0</v>
      </c>
      <c r="AN10" s="206">
        <f t="shared" si="6"/>
        <v>0</v>
      </c>
      <c r="AO10" s="206">
        <f t="shared" si="7"/>
        <v>0</v>
      </c>
      <c r="AP10" s="206">
        <f t="shared" si="8"/>
        <v>0</v>
      </c>
      <c r="AQ10" s="206">
        <f t="shared" si="9"/>
        <v>0</v>
      </c>
      <c r="AR10" s="206">
        <f t="shared" si="10"/>
        <v>0</v>
      </c>
      <c r="AS10" s="206">
        <f t="shared" si="11"/>
        <v>0</v>
      </c>
      <c r="AT10" s="206">
        <f t="shared" si="12"/>
        <v>0</v>
      </c>
      <c r="AU10" s="206">
        <f t="shared" si="13"/>
        <v>0</v>
      </c>
      <c r="AV10" s="206">
        <f t="shared" si="14"/>
        <v>0</v>
      </c>
      <c r="AW10" s="206">
        <v>14</v>
      </c>
      <c r="AX10" s="134" t="str">
        <f>IF(AV10&lt;=AW10,"OK","NG")</f>
        <v>OK</v>
      </c>
    </row>
    <row r="11" spans="1:50" ht="36" customHeight="1">
      <c r="A11" s="200"/>
      <c r="B11" s="155" t="s">
        <v>34</v>
      </c>
      <c r="C11" s="163" t="s">
        <v>99</v>
      </c>
      <c r="D11" s="291"/>
      <c r="E11" s="291"/>
      <c r="F11" s="291"/>
      <c r="G11" s="291"/>
      <c r="H11" s="291"/>
      <c r="I11" s="291"/>
      <c r="J11" s="291"/>
      <c r="K11" s="291"/>
      <c r="L11" s="291"/>
      <c r="M11" s="291"/>
      <c r="N11" s="291"/>
      <c r="O11" s="291"/>
      <c r="P11" s="291"/>
      <c r="Q11" s="291"/>
      <c r="R11" s="291"/>
      <c r="S11" s="291"/>
      <c r="T11" s="291"/>
      <c r="U11" s="291"/>
      <c r="V11" s="291"/>
      <c r="W11" s="291"/>
      <c r="X11" s="291"/>
      <c r="Y11" s="291"/>
      <c r="Z11" s="291"/>
      <c r="AA11" s="291"/>
      <c r="AB11" s="291"/>
      <c r="AC11" s="291"/>
      <c r="AD11" s="291"/>
      <c r="AE11" s="291"/>
      <c r="AF11" s="291"/>
      <c r="AG11" s="291"/>
      <c r="AH11" s="310"/>
      <c r="AI11" s="204"/>
      <c r="AJ11" s="206">
        <f t="shared" si="2"/>
        <v>0</v>
      </c>
      <c r="AK11" s="206">
        <f t="shared" si="3"/>
        <v>0</v>
      </c>
      <c r="AL11" s="206">
        <f t="shared" si="4"/>
        <v>0</v>
      </c>
      <c r="AM11" s="206">
        <f t="shared" si="5"/>
        <v>0</v>
      </c>
      <c r="AN11" s="206">
        <f t="shared" si="6"/>
        <v>0</v>
      </c>
      <c r="AO11" s="206">
        <f t="shared" si="7"/>
        <v>0</v>
      </c>
      <c r="AP11" s="206">
        <f t="shared" si="8"/>
        <v>0</v>
      </c>
      <c r="AQ11" s="206">
        <f t="shared" si="9"/>
        <v>0</v>
      </c>
      <c r="AR11" s="206">
        <f t="shared" si="10"/>
        <v>0</v>
      </c>
      <c r="AS11" s="206">
        <f t="shared" si="11"/>
        <v>0</v>
      </c>
      <c r="AT11" s="206">
        <f t="shared" si="12"/>
        <v>0</v>
      </c>
      <c r="AU11" s="206">
        <f t="shared" si="13"/>
        <v>0</v>
      </c>
      <c r="AV11" s="206">
        <f t="shared" si="14"/>
        <v>0</v>
      </c>
      <c r="AW11" s="206">
        <v>15</v>
      </c>
      <c r="AX11" s="134" t="str">
        <f>IF(AV11&lt;=AW11,"OK","NG")</f>
        <v>OK</v>
      </c>
    </row>
    <row r="12" spans="1:50" ht="35.25" customHeight="1">
      <c r="A12" s="200"/>
      <c r="B12" s="155" t="s">
        <v>34</v>
      </c>
      <c r="C12" s="156" t="s">
        <v>9</v>
      </c>
      <c r="D12" s="291"/>
      <c r="E12" s="290"/>
      <c r="F12" s="290"/>
      <c r="G12" s="291"/>
      <c r="H12" s="291"/>
      <c r="I12" s="290"/>
      <c r="J12" s="291"/>
      <c r="K12" s="290"/>
      <c r="L12" s="291"/>
      <c r="M12" s="290"/>
      <c r="N12" s="291"/>
      <c r="O12" s="306"/>
      <c r="P12" s="291"/>
      <c r="Q12" s="291"/>
      <c r="R12" s="290"/>
      <c r="S12" s="291"/>
      <c r="T12" s="291"/>
      <c r="U12" s="306"/>
      <c r="V12" s="306"/>
      <c r="W12" s="291"/>
      <c r="X12" s="306"/>
      <c r="Y12" s="291"/>
      <c r="Z12" s="290"/>
      <c r="AA12" s="291"/>
      <c r="AB12" s="291"/>
      <c r="AC12" s="291"/>
      <c r="AD12" s="290"/>
      <c r="AE12" s="291"/>
      <c r="AF12" s="306"/>
      <c r="AG12" s="290"/>
      <c r="AH12" s="311"/>
      <c r="AI12" s="204"/>
      <c r="AJ12" s="206">
        <f t="shared" si="2"/>
        <v>0</v>
      </c>
      <c r="AK12" s="206">
        <f t="shared" si="3"/>
        <v>0</v>
      </c>
      <c r="AL12" s="206">
        <f t="shared" si="4"/>
        <v>0</v>
      </c>
      <c r="AM12" s="206">
        <f t="shared" si="5"/>
        <v>0</v>
      </c>
      <c r="AN12" s="206">
        <f t="shared" si="6"/>
        <v>0</v>
      </c>
      <c r="AO12" s="206">
        <f t="shared" si="7"/>
        <v>0</v>
      </c>
      <c r="AP12" s="206">
        <f t="shared" si="8"/>
        <v>0</v>
      </c>
      <c r="AQ12" s="206">
        <f t="shared" si="9"/>
        <v>0</v>
      </c>
      <c r="AR12" s="206">
        <f t="shared" si="10"/>
        <v>0</v>
      </c>
      <c r="AS12" s="206">
        <f t="shared" si="11"/>
        <v>0</v>
      </c>
      <c r="AT12" s="206">
        <f t="shared" si="12"/>
        <v>0</v>
      </c>
      <c r="AU12" s="206">
        <f t="shared" si="13"/>
        <v>0</v>
      </c>
      <c r="AV12" s="206">
        <f t="shared" si="14"/>
        <v>0</v>
      </c>
      <c r="AW12" s="206">
        <v>15</v>
      </c>
      <c r="AX12" s="134" t="str">
        <f>IF(AV12&lt;=AW12,"OK","NG")</f>
        <v>OK</v>
      </c>
    </row>
    <row r="13" spans="1:50" ht="35.25" customHeight="1">
      <c r="A13" s="200"/>
      <c r="B13" s="155" t="s">
        <v>34</v>
      </c>
      <c r="C13" s="163" t="s">
        <v>10</v>
      </c>
      <c r="D13" s="309"/>
      <c r="E13" s="291"/>
      <c r="F13" s="291"/>
      <c r="G13" s="291"/>
      <c r="H13" s="306"/>
      <c r="I13" s="306"/>
      <c r="J13" s="292"/>
      <c r="K13" s="291"/>
      <c r="L13" s="306"/>
      <c r="M13" s="290"/>
      <c r="N13" s="290"/>
      <c r="O13" s="291"/>
      <c r="P13" s="292"/>
      <c r="Q13" s="292"/>
      <c r="R13" s="292"/>
      <c r="S13" s="291"/>
      <c r="T13" s="291"/>
      <c r="U13" s="290"/>
      <c r="V13" s="290"/>
      <c r="W13" s="306"/>
      <c r="X13" s="292"/>
      <c r="Y13" s="291"/>
      <c r="Z13" s="291"/>
      <c r="AA13" s="290"/>
      <c r="AB13" s="291"/>
      <c r="AC13" s="306"/>
      <c r="AD13" s="291"/>
      <c r="AE13" s="292"/>
      <c r="AF13" s="291"/>
      <c r="AG13" s="291"/>
      <c r="AH13" s="308"/>
      <c r="AI13" s="204"/>
      <c r="AJ13" s="206">
        <f t="shared" si="2"/>
        <v>0</v>
      </c>
      <c r="AK13" s="206">
        <f t="shared" si="3"/>
        <v>0</v>
      </c>
      <c r="AL13" s="206">
        <f t="shared" si="4"/>
        <v>0</v>
      </c>
      <c r="AM13" s="206">
        <f t="shared" si="5"/>
        <v>0</v>
      </c>
      <c r="AN13" s="206">
        <f t="shared" si="6"/>
        <v>0</v>
      </c>
      <c r="AO13" s="206">
        <f t="shared" si="7"/>
        <v>0</v>
      </c>
      <c r="AP13" s="206">
        <f t="shared" si="8"/>
        <v>0</v>
      </c>
      <c r="AQ13" s="206">
        <f t="shared" si="9"/>
        <v>0</v>
      </c>
      <c r="AR13" s="206">
        <f t="shared" si="10"/>
        <v>0</v>
      </c>
      <c r="AS13" s="206">
        <f t="shared" si="11"/>
        <v>0</v>
      </c>
      <c r="AT13" s="206">
        <f t="shared" si="12"/>
        <v>0</v>
      </c>
      <c r="AU13" s="206">
        <f t="shared" si="13"/>
        <v>0</v>
      </c>
      <c r="AV13" s="206">
        <f t="shared" si="14"/>
        <v>0</v>
      </c>
      <c r="AW13" s="206">
        <v>15</v>
      </c>
      <c r="AX13" s="134" t="str">
        <f>IF(AV13&lt;=AW13,"OK","NG")</f>
        <v>OK</v>
      </c>
    </row>
    <row r="14" spans="1:50" ht="35.25" customHeight="1">
      <c r="A14" s="200"/>
      <c r="B14" s="155" t="s">
        <v>34</v>
      </c>
      <c r="C14" s="163" t="s">
        <v>20</v>
      </c>
      <c r="D14" s="312"/>
      <c r="E14" s="291"/>
      <c r="F14" s="291"/>
      <c r="G14" s="290"/>
      <c r="H14" s="292"/>
      <c r="I14" s="292"/>
      <c r="J14" s="292"/>
      <c r="K14" s="291"/>
      <c r="L14" s="290"/>
      <c r="M14" s="290"/>
      <c r="N14" s="291"/>
      <c r="O14" s="292"/>
      <c r="P14" s="290"/>
      <c r="Q14" s="291"/>
      <c r="R14" s="291"/>
      <c r="S14" s="290"/>
      <c r="T14" s="290"/>
      <c r="U14" s="291"/>
      <c r="V14" s="292"/>
      <c r="W14" s="290"/>
      <c r="X14" s="291"/>
      <c r="Y14" s="290"/>
      <c r="Z14" s="291"/>
      <c r="AA14" s="291"/>
      <c r="AB14" s="292"/>
      <c r="AC14" s="292"/>
      <c r="AD14" s="291"/>
      <c r="AE14" s="291"/>
      <c r="AF14" s="290"/>
      <c r="AG14" s="291"/>
      <c r="AH14" s="308"/>
      <c r="AI14" s="204"/>
      <c r="AJ14" s="206">
        <f t="shared" si="2"/>
        <v>0</v>
      </c>
      <c r="AK14" s="206">
        <f t="shared" si="3"/>
        <v>0</v>
      </c>
      <c r="AL14" s="206">
        <f t="shared" si="4"/>
        <v>0</v>
      </c>
      <c r="AM14" s="206">
        <f t="shared" si="5"/>
        <v>0</v>
      </c>
      <c r="AN14" s="206">
        <f t="shared" si="6"/>
        <v>0</v>
      </c>
      <c r="AO14" s="206">
        <f t="shared" si="7"/>
        <v>0</v>
      </c>
      <c r="AP14" s="206">
        <f t="shared" si="8"/>
        <v>0</v>
      </c>
      <c r="AQ14" s="206">
        <f t="shared" si="9"/>
        <v>0</v>
      </c>
      <c r="AR14" s="206">
        <f t="shared" si="10"/>
        <v>0</v>
      </c>
      <c r="AS14" s="206">
        <f t="shared" si="11"/>
        <v>0</v>
      </c>
      <c r="AT14" s="206">
        <f t="shared" si="12"/>
        <v>0</v>
      </c>
      <c r="AU14" s="206">
        <f t="shared" si="13"/>
        <v>0</v>
      </c>
      <c r="AV14" s="206">
        <f t="shared" si="14"/>
        <v>0</v>
      </c>
      <c r="AW14" s="206">
        <v>15</v>
      </c>
      <c r="AX14" s="134" t="str">
        <f>IF(AV14&lt;=AW14,"OK","NG")</f>
        <v>OK</v>
      </c>
    </row>
    <row r="15" spans="1:50" ht="35.25" customHeight="1">
      <c r="A15" s="200"/>
      <c r="B15" s="155" t="s">
        <v>30</v>
      </c>
      <c r="C15" s="156" t="s">
        <v>7</v>
      </c>
      <c r="D15" s="313"/>
      <c r="E15" s="307"/>
      <c r="F15" s="291"/>
      <c r="G15" s="290"/>
      <c r="H15" s="290"/>
      <c r="I15" s="291"/>
      <c r="J15" s="291"/>
      <c r="K15" s="290"/>
      <c r="L15" s="291"/>
      <c r="M15" s="291"/>
      <c r="N15" s="307"/>
      <c r="O15" s="307"/>
      <c r="P15" s="291"/>
      <c r="Q15" s="290"/>
      <c r="R15" s="290"/>
      <c r="S15" s="291"/>
      <c r="T15" s="290"/>
      <c r="U15" s="290"/>
      <c r="V15" s="291"/>
      <c r="W15" s="307"/>
      <c r="X15" s="307"/>
      <c r="Y15" s="290"/>
      <c r="Z15" s="290"/>
      <c r="AA15" s="290"/>
      <c r="AB15" s="291"/>
      <c r="AC15" s="290"/>
      <c r="AD15" s="291"/>
      <c r="AE15" s="292"/>
      <c r="AF15" s="307"/>
      <c r="AG15" s="307"/>
      <c r="AH15" s="311"/>
      <c r="AI15" s="204"/>
      <c r="AJ15" s="206">
        <f>COUNTIF($D15:$AH15,"A")</f>
        <v>0</v>
      </c>
      <c r="AK15" s="206">
        <f t="shared" si="3"/>
        <v>0</v>
      </c>
      <c r="AL15" s="206">
        <f t="shared" si="4"/>
        <v>0</v>
      </c>
      <c r="AM15" s="206">
        <f>COUNTIF($D15:$AH15,"C")</f>
        <v>0</v>
      </c>
      <c r="AN15" s="206">
        <f>COUNTIF($D15:$AH15,"夜")</f>
        <v>0</v>
      </c>
      <c r="AO15" s="206">
        <f>COUNTIF($D15:$AH15,"明")</f>
        <v>0</v>
      </c>
      <c r="AP15" s="206">
        <f t="shared" si="8"/>
        <v>0</v>
      </c>
      <c r="AQ15" s="206">
        <f t="shared" si="9"/>
        <v>0</v>
      </c>
      <c r="AR15" s="206">
        <f t="shared" si="10"/>
        <v>0</v>
      </c>
      <c r="AS15" s="206">
        <f t="shared" si="11"/>
        <v>0</v>
      </c>
      <c r="AT15" s="206">
        <f>COUNTIF($D15:$AH15,"有")</f>
        <v>0</v>
      </c>
      <c r="AU15" s="206">
        <f>COUNTIF($D15:$AH15,"休")+COUNTIF($D15:$AH15,"希")</f>
        <v>0</v>
      </c>
      <c r="AV15" s="206">
        <f t="shared" si="14"/>
        <v>0</v>
      </c>
      <c r="AW15" s="206"/>
      <c r="AX15" s="134" t="str">
        <f t="shared" ref="AX15:AX17" si="16">IF($AX$3=2,IF(AU15=8,"OK","NG"),IF(AU15=9,"OK","NG"))</f>
        <v>NG</v>
      </c>
    </row>
    <row r="16" spans="1:50" ht="35.25" customHeight="1">
      <c r="A16" s="200"/>
      <c r="B16" s="155" t="s">
        <v>33</v>
      </c>
      <c r="C16" s="163" t="s">
        <v>19</v>
      </c>
      <c r="D16" s="289"/>
      <c r="E16" s="290"/>
      <c r="F16" s="291"/>
      <c r="G16" s="291"/>
      <c r="H16" s="291"/>
      <c r="I16" s="291"/>
      <c r="J16" s="291"/>
      <c r="K16" s="291"/>
      <c r="L16" s="291"/>
      <c r="M16" s="290"/>
      <c r="N16" s="290"/>
      <c r="O16" s="291"/>
      <c r="P16" s="291"/>
      <c r="Q16" s="292"/>
      <c r="R16" s="291"/>
      <c r="S16" s="290"/>
      <c r="T16" s="291"/>
      <c r="U16" s="291"/>
      <c r="V16" s="291"/>
      <c r="W16" s="291"/>
      <c r="X16" s="291"/>
      <c r="Y16" s="292"/>
      <c r="Z16" s="292"/>
      <c r="AA16" s="291"/>
      <c r="AB16" s="291"/>
      <c r="AC16" s="291"/>
      <c r="AD16" s="291"/>
      <c r="AE16" s="290"/>
      <c r="AF16" s="291"/>
      <c r="AG16" s="291"/>
      <c r="AH16" s="311"/>
      <c r="AI16" s="204"/>
      <c r="AJ16" s="206">
        <f t="shared" si="2"/>
        <v>0</v>
      </c>
      <c r="AK16" s="206">
        <f t="shared" si="3"/>
        <v>0</v>
      </c>
      <c r="AL16" s="206">
        <f t="shared" si="4"/>
        <v>0</v>
      </c>
      <c r="AM16" s="206">
        <f t="shared" si="5"/>
        <v>0</v>
      </c>
      <c r="AN16" s="206">
        <f t="shared" si="6"/>
        <v>0</v>
      </c>
      <c r="AO16" s="206">
        <f t="shared" si="7"/>
        <v>0</v>
      </c>
      <c r="AP16" s="206">
        <f t="shared" si="8"/>
        <v>0</v>
      </c>
      <c r="AQ16" s="206">
        <f t="shared" si="9"/>
        <v>0</v>
      </c>
      <c r="AR16" s="206">
        <f t="shared" si="10"/>
        <v>0</v>
      </c>
      <c r="AS16" s="206">
        <f t="shared" si="11"/>
        <v>0</v>
      </c>
      <c r="AT16" s="206">
        <f t="shared" si="12"/>
        <v>0</v>
      </c>
      <c r="AU16" s="206">
        <f>COUNTIF($D16:$AH16,"休")+COUNTIF($D16:$AH16,"希")</f>
        <v>0</v>
      </c>
      <c r="AV16" s="206">
        <f t="shared" si="14"/>
        <v>0</v>
      </c>
      <c r="AW16" s="206"/>
      <c r="AX16" s="134" t="str">
        <f t="shared" si="16"/>
        <v>NG</v>
      </c>
    </row>
    <row r="17" spans="1:58" ht="35.25" customHeight="1">
      <c r="A17" s="200"/>
      <c r="B17" s="155" t="s">
        <v>31</v>
      </c>
      <c r="C17" s="163" t="s">
        <v>16</v>
      </c>
      <c r="D17" s="290"/>
      <c r="E17" s="291"/>
      <c r="F17" s="290"/>
      <c r="G17" s="292"/>
      <c r="H17" s="291"/>
      <c r="I17" s="292"/>
      <c r="J17" s="292"/>
      <c r="K17" s="291"/>
      <c r="L17" s="292"/>
      <c r="M17" s="291"/>
      <c r="N17" s="291"/>
      <c r="O17" s="291"/>
      <c r="P17" s="290"/>
      <c r="Q17" s="291"/>
      <c r="R17" s="291"/>
      <c r="S17" s="291"/>
      <c r="T17" s="292"/>
      <c r="U17" s="291"/>
      <c r="V17" s="291"/>
      <c r="W17" s="291"/>
      <c r="X17" s="292"/>
      <c r="Y17" s="291"/>
      <c r="Z17" s="291"/>
      <c r="AA17" s="292"/>
      <c r="AB17" s="291"/>
      <c r="AC17" s="291"/>
      <c r="AD17" s="290"/>
      <c r="AE17" s="291"/>
      <c r="AF17" s="292"/>
      <c r="AG17" s="291"/>
      <c r="AH17" s="305"/>
      <c r="AI17" s="204"/>
      <c r="AJ17" s="206">
        <f t="shared" si="2"/>
        <v>0</v>
      </c>
      <c r="AK17" s="206">
        <f t="shared" si="3"/>
        <v>0</v>
      </c>
      <c r="AL17" s="206">
        <f t="shared" si="4"/>
        <v>0</v>
      </c>
      <c r="AM17" s="206">
        <f t="shared" si="5"/>
        <v>0</v>
      </c>
      <c r="AN17" s="206">
        <f t="shared" si="6"/>
        <v>0</v>
      </c>
      <c r="AO17" s="206">
        <f t="shared" si="7"/>
        <v>0</v>
      </c>
      <c r="AP17" s="206">
        <f t="shared" si="8"/>
        <v>0</v>
      </c>
      <c r="AQ17" s="206">
        <f t="shared" si="9"/>
        <v>0</v>
      </c>
      <c r="AR17" s="206">
        <f t="shared" si="10"/>
        <v>0</v>
      </c>
      <c r="AS17" s="206">
        <f t="shared" si="11"/>
        <v>0</v>
      </c>
      <c r="AT17" s="206">
        <f t="shared" si="12"/>
        <v>0</v>
      </c>
      <c r="AU17" s="206">
        <f t="shared" si="13"/>
        <v>0</v>
      </c>
      <c r="AV17" s="206">
        <f t="shared" si="14"/>
        <v>0</v>
      </c>
      <c r="AW17" s="206"/>
      <c r="AX17" s="134" t="str">
        <f t="shared" si="16"/>
        <v>NG</v>
      </c>
    </row>
    <row r="18" spans="1:58" ht="35.25" customHeight="1">
      <c r="A18" s="200"/>
      <c r="B18" s="155" t="s">
        <v>32</v>
      </c>
      <c r="C18" s="163" t="s">
        <v>38</v>
      </c>
      <c r="D18" s="289"/>
      <c r="E18" s="291"/>
      <c r="F18" s="291"/>
      <c r="G18" s="291"/>
      <c r="H18" s="291"/>
      <c r="I18" s="291"/>
      <c r="J18" s="291"/>
      <c r="K18" s="291"/>
      <c r="L18" s="291"/>
      <c r="M18" s="291"/>
      <c r="N18" s="291"/>
      <c r="O18" s="291"/>
      <c r="P18" s="291"/>
      <c r="Q18" s="291"/>
      <c r="R18" s="291"/>
      <c r="S18" s="291"/>
      <c r="T18" s="291"/>
      <c r="U18" s="291"/>
      <c r="V18" s="291"/>
      <c r="W18" s="291"/>
      <c r="X18" s="291"/>
      <c r="Y18" s="291"/>
      <c r="Z18" s="291"/>
      <c r="AA18" s="291"/>
      <c r="AB18" s="291"/>
      <c r="AC18" s="291"/>
      <c r="AD18" s="291"/>
      <c r="AE18" s="291"/>
      <c r="AF18" s="291"/>
      <c r="AG18" s="291"/>
      <c r="AH18" s="305"/>
      <c r="AI18" s="204"/>
      <c r="AJ18" s="206">
        <f>COUNTIF($D18:$AH18,"A")</f>
        <v>0</v>
      </c>
      <c r="AK18" s="206">
        <f t="shared" si="3"/>
        <v>0</v>
      </c>
      <c r="AL18" s="206">
        <f t="shared" si="4"/>
        <v>0</v>
      </c>
      <c r="AM18" s="206">
        <f>COUNTIF($D18:$AH18,"C")</f>
        <v>0</v>
      </c>
      <c r="AN18" s="206">
        <f>COUNTIF($D18:$AH18,"夜")</f>
        <v>0</v>
      </c>
      <c r="AO18" s="206">
        <f>COUNTIF($D18:$AH18,"明")</f>
        <v>0</v>
      </c>
      <c r="AP18" s="206">
        <f t="shared" si="8"/>
        <v>0</v>
      </c>
      <c r="AQ18" s="206">
        <f t="shared" si="9"/>
        <v>0</v>
      </c>
      <c r="AR18" s="206">
        <f t="shared" si="10"/>
        <v>0</v>
      </c>
      <c r="AS18" s="206">
        <f t="shared" si="11"/>
        <v>0</v>
      </c>
      <c r="AT18" s="206">
        <f>COUNTIF($D18:$AH18,"有")</f>
        <v>0</v>
      </c>
      <c r="AU18" s="206">
        <f>COUNTIF($D18:$AH18,"休")+COUNTIF($D18:$AH18,"希")</f>
        <v>0</v>
      </c>
      <c r="AV18" s="206">
        <f t="shared" si="14"/>
        <v>0</v>
      </c>
      <c r="AW18" s="206"/>
      <c r="AX18" s="134" t="str">
        <f>IF($AX$3=2,IF(AU18=8,"OK","NG"),IF(AU18=9,"OK","NG"))</f>
        <v>NG</v>
      </c>
    </row>
    <row r="19" spans="1:58" ht="35.25" customHeight="1" thickBot="1">
      <c r="A19" s="200"/>
      <c r="B19" s="165" t="s">
        <v>35</v>
      </c>
      <c r="C19" s="166" t="s">
        <v>39</v>
      </c>
      <c r="D19" s="289"/>
      <c r="E19" s="291"/>
      <c r="F19" s="291"/>
      <c r="G19" s="292"/>
      <c r="H19" s="292"/>
      <c r="I19" s="291"/>
      <c r="J19" s="292"/>
      <c r="K19" s="291"/>
      <c r="L19" s="291"/>
      <c r="M19" s="291"/>
      <c r="N19" s="292"/>
      <c r="O19" s="292"/>
      <c r="P19" s="291"/>
      <c r="Q19" s="291"/>
      <c r="R19" s="291"/>
      <c r="S19" s="291"/>
      <c r="T19" s="291"/>
      <c r="U19" s="292"/>
      <c r="V19" s="292"/>
      <c r="W19" s="291"/>
      <c r="X19" s="291"/>
      <c r="Y19" s="291"/>
      <c r="Z19" s="291"/>
      <c r="AA19" s="291"/>
      <c r="AB19" s="292"/>
      <c r="AC19" s="292"/>
      <c r="AD19" s="291"/>
      <c r="AE19" s="290"/>
      <c r="AF19" s="292"/>
      <c r="AG19" s="291"/>
      <c r="AH19" s="305"/>
      <c r="AI19" s="204"/>
      <c r="AJ19" s="206">
        <f>COUNTIF($D19:$AH19,"A")</f>
        <v>0</v>
      </c>
      <c r="AK19" s="206">
        <f t="shared" si="3"/>
        <v>0</v>
      </c>
      <c r="AL19" s="206">
        <f t="shared" si="4"/>
        <v>0</v>
      </c>
      <c r="AM19" s="206">
        <f>COUNTIF($D19:$AH19,"C")</f>
        <v>0</v>
      </c>
      <c r="AN19" s="206">
        <f>COUNTIF($D19:$AH19,"夜")</f>
        <v>0</v>
      </c>
      <c r="AO19" s="206">
        <f>COUNTIF($D19:$AH19,"明")</f>
        <v>0</v>
      </c>
      <c r="AP19" s="206">
        <f t="shared" si="8"/>
        <v>0</v>
      </c>
      <c r="AQ19" s="206">
        <f t="shared" si="9"/>
        <v>0</v>
      </c>
      <c r="AR19" s="206">
        <f t="shared" si="10"/>
        <v>0</v>
      </c>
      <c r="AS19" s="206">
        <f t="shared" si="11"/>
        <v>0</v>
      </c>
      <c r="AT19" s="206">
        <f>COUNTIF($D19:$AH19,"有")</f>
        <v>0</v>
      </c>
      <c r="AU19" s="206">
        <f>COUNTIF($D19:$AH19,"休")+COUNTIF($D19:$AH19,"希")</f>
        <v>0</v>
      </c>
      <c r="AV19" s="206">
        <f t="shared" si="14"/>
        <v>0</v>
      </c>
      <c r="AW19" s="206">
        <v>15</v>
      </c>
      <c r="AX19" s="134" t="str">
        <f>IF(AV19&lt;=AW19,"OK","NG")</f>
        <v>OK</v>
      </c>
    </row>
    <row r="20" spans="1:58" ht="35.25" customHeight="1">
      <c r="A20" s="200"/>
      <c r="B20" s="151" t="s">
        <v>36</v>
      </c>
      <c r="C20" s="152" t="s">
        <v>11</v>
      </c>
      <c r="D20" s="293"/>
      <c r="E20" s="294"/>
      <c r="F20" s="295"/>
      <c r="G20" s="294"/>
      <c r="H20" s="294"/>
      <c r="I20" s="294"/>
      <c r="J20" s="294"/>
      <c r="K20" s="294"/>
      <c r="L20" s="294"/>
      <c r="M20" s="295"/>
      <c r="N20" s="294"/>
      <c r="O20" s="296"/>
      <c r="P20" s="294"/>
      <c r="Q20" s="294"/>
      <c r="R20" s="294"/>
      <c r="S20" s="294"/>
      <c r="T20" s="295"/>
      <c r="U20" s="294"/>
      <c r="V20" s="294"/>
      <c r="W20" s="294"/>
      <c r="X20" s="294"/>
      <c r="Y20" s="294"/>
      <c r="Z20" s="294"/>
      <c r="AA20" s="295"/>
      <c r="AB20" s="294"/>
      <c r="AC20" s="294"/>
      <c r="AD20" s="294"/>
      <c r="AE20" s="294"/>
      <c r="AF20" s="294"/>
      <c r="AG20" s="294"/>
      <c r="AH20" s="314"/>
      <c r="AI20" s="226"/>
      <c r="AJ20" s="206"/>
      <c r="AK20" s="206">
        <f t="shared" si="3"/>
        <v>0</v>
      </c>
      <c r="AL20" s="206">
        <f t="shared" si="4"/>
        <v>0</v>
      </c>
      <c r="AM20" s="206"/>
      <c r="AN20" s="206"/>
      <c r="AO20" s="206"/>
      <c r="AP20" s="206">
        <f t="shared" si="8"/>
        <v>0</v>
      </c>
      <c r="AQ20" s="206">
        <f t="shared" si="9"/>
        <v>0</v>
      </c>
      <c r="AR20" s="206">
        <f t="shared" si="10"/>
        <v>0</v>
      </c>
      <c r="AS20" s="206">
        <f t="shared" si="11"/>
        <v>0</v>
      </c>
      <c r="AT20" s="206">
        <f>COUNTIF($D20:$AH20,"有")</f>
        <v>0</v>
      </c>
      <c r="AU20" s="206">
        <f>COUNTIF($D20:$AH20,"休")+COUNTIF($D20:$AH20,"希")</f>
        <v>0</v>
      </c>
      <c r="AV20" s="206">
        <f t="shared" si="14"/>
        <v>0</v>
      </c>
      <c r="AW20" s="206">
        <v>27</v>
      </c>
      <c r="AX20" s="134" t="str">
        <f t="shared" ref="AX20:AX23" si="17">IF(AV20&lt;=AW20,"OK","NG")</f>
        <v>OK</v>
      </c>
    </row>
    <row r="21" spans="1:58" ht="35.25" customHeight="1">
      <c r="B21" s="155" t="s">
        <v>36</v>
      </c>
      <c r="C21" s="156" t="s">
        <v>12</v>
      </c>
      <c r="D21" s="297"/>
      <c r="E21" s="290"/>
      <c r="F21" s="290"/>
      <c r="G21" s="291"/>
      <c r="H21" s="291"/>
      <c r="I21" s="291"/>
      <c r="J21" s="291"/>
      <c r="K21" s="290"/>
      <c r="L21" s="290"/>
      <c r="M21" s="290"/>
      <c r="N21" s="291"/>
      <c r="O21" s="291"/>
      <c r="P21" s="290"/>
      <c r="Q21" s="291"/>
      <c r="R21" s="290"/>
      <c r="S21" s="290"/>
      <c r="T21" s="290"/>
      <c r="U21" s="291"/>
      <c r="V21" s="291"/>
      <c r="W21" s="291"/>
      <c r="X21" s="291"/>
      <c r="Y21" s="290"/>
      <c r="Z21" s="290"/>
      <c r="AA21" s="290"/>
      <c r="AB21" s="291"/>
      <c r="AC21" s="291"/>
      <c r="AD21" s="291"/>
      <c r="AE21" s="291"/>
      <c r="AF21" s="290"/>
      <c r="AG21" s="290"/>
      <c r="AH21" s="311"/>
      <c r="AI21" s="226"/>
      <c r="AJ21" s="206"/>
      <c r="AK21" s="206">
        <f t="shared" si="3"/>
        <v>0</v>
      </c>
      <c r="AL21" s="206">
        <f t="shared" si="4"/>
        <v>0</v>
      </c>
      <c r="AM21" s="206"/>
      <c r="AN21" s="206"/>
      <c r="AO21" s="206"/>
      <c r="AP21" s="206">
        <f t="shared" si="8"/>
        <v>0</v>
      </c>
      <c r="AQ21" s="206">
        <f t="shared" si="9"/>
        <v>0</v>
      </c>
      <c r="AR21" s="206">
        <f t="shared" si="10"/>
        <v>0</v>
      </c>
      <c r="AS21" s="206">
        <f t="shared" si="11"/>
        <v>0</v>
      </c>
      <c r="AT21" s="206">
        <f>COUNTIF($D21:$AH21,"有")</f>
        <v>0</v>
      </c>
      <c r="AU21" s="206">
        <f t="shared" ref="AU21:AU25" si="18">COUNTIF($D21:$AH21,"休")+COUNTIF($D21:$AH21,"希")</f>
        <v>0</v>
      </c>
      <c r="AV21" s="206">
        <f t="shared" si="14"/>
        <v>0</v>
      </c>
      <c r="AW21" s="206">
        <v>15</v>
      </c>
      <c r="AX21" s="134" t="str">
        <f t="shared" si="17"/>
        <v>OK</v>
      </c>
    </row>
    <row r="22" spans="1:58" s="177" customFormat="1" ht="35.25" customHeight="1">
      <c r="A22" s="132"/>
      <c r="B22" s="155" t="s">
        <v>36</v>
      </c>
      <c r="C22" s="167" t="s">
        <v>18</v>
      </c>
      <c r="D22" s="298"/>
      <c r="E22" s="291"/>
      <c r="F22" s="290"/>
      <c r="G22" s="291"/>
      <c r="H22" s="291"/>
      <c r="I22" s="290"/>
      <c r="J22" s="290"/>
      <c r="K22" s="291"/>
      <c r="L22" s="291"/>
      <c r="M22" s="290"/>
      <c r="N22" s="291"/>
      <c r="O22" s="291"/>
      <c r="P22" s="290"/>
      <c r="Q22" s="290"/>
      <c r="R22" s="291"/>
      <c r="S22" s="291"/>
      <c r="T22" s="290"/>
      <c r="U22" s="290"/>
      <c r="V22" s="291"/>
      <c r="W22" s="290"/>
      <c r="X22" s="290"/>
      <c r="Y22" s="291"/>
      <c r="Z22" s="291"/>
      <c r="AA22" s="290"/>
      <c r="AB22" s="291"/>
      <c r="AC22" s="291"/>
      <c r="AD22" s="290"/>
      <c r="AE22" s="290"/>
      <c r="AF22" s="291"/>
      <c r="AG22" s="291"/>
      <c r="AH22" s="311"/>
      <c r="AI22" s="231"/>
      <c r="AJ22" s="206"/>
      <c r="AK22" s="206">
        <f t="shared" si="3"/>
        <v>0</v>
      </c>
      <c r="AL22" s="206">
        <f t="shared" si="4"/>
        <v>0</v>
      </c>
      <c r="AM22" s="206"/>
      <c r="AN22" s="206"/>
      <c r="AO22" s="206"/>
      <c r="AP22" s="206">
        <f t="shared" si="8"/>
        <v>0</v>
      </c>
      <c r="AQ22" s="206">
        <f t="shared" si="9"/>
        <v>0</v>
      </c>
      <c r="AR22" s="206">
        <f t="shared" si="10"/>
        <v>0</v>
      </c>
      <c r="AS22" s="206">
        <f t="shared" si="11"/>
        <v>0</v>
      </c>
      <c r="AT22" s="206">
        <f>COUNTIF($D22:$AH22,"有")</f>
        <v>0</v>
      </c>
      <c r="AU22" s="206">
        <f t="shared" si="18"/>
        <v>0</v>
      </c>
      <c r="AV22" s="206">
        <f t="shared" si="14"/>
        <v>0</v>
      </c>
      <c r="AW22" s="206">
        <v>15</v>
      </c>
      <c r="AX22" s="134" t="str">
        <f t="shared" si="17"/>
        <v>OK</v>
      </c>
      <c r="AY22" s="132"/>
      <c r="AZ22" s="132"/>
      <c r="BA22" s="132"/>
      <c r="BB22" s="132"/>
      <c r="BC22" s="132"/>
      <c r="BD22" s="132"/>
      <c r="BE22" s="132"/>
      <c r="BF22" s="132"/>
    </row>
    <row r="23" spans="1:58" s="177" customFormat="1" ht="35" customHeight="1">
      <c r="A23" s="132"/>
      <c r="B23" s="155" t="s">
        <v>36</v>
      </c>
      <c r="C23" s="167" t="s">
        <v>98</v>
      </c>
      <c r="D23" s="298"/>
      <c r="E23" s="291"/>
      <c r="F23" s="291"/>
      <c r="G23" s="291"/>
      <c r="H23" s="290"/>
      <c r="I23" s="291"/>
      <c r="J23" s="291"/>
      <c r="K23" s="291"/>
      <c r="L23" s="291"/>
      <c r="M23" s="291"/>
      <c r="N23" s="291"/>
      <c r="O23" s="290"/>
      <c r="P23" s="291"/>
      <c r="Q23" s="291"/>
      <c r="R23" s="291"/>
      <c r="S23" s="291"/>
      <c r="T23" s="291"/>
      <c r="U23" s="291"/>
      <c r="V23" s="290"/>
      <c r="W23" s="291"/>
      <c r="X23" s="291"/>
      <c r="Y23" s="291"/>
      <c r="Z23" s="291"/>
      <c r="AA23" s="291"/>
      <c r="AB23" s="291"/>
      <c r="AC23" s="290"/>
      <c r="AD23" s="291"/>
      <c r="AE23" s="291"/>
      <c r="AF23" s="291"/>
      <c r="AG23" s="291"/>
      <c r="AH23" s="311"/>
      <c r="AI23" s="231"/>
      <c r="AJ23" s="206"/>
      <c r="AK23" s="206">
        <f t="shared" si="3"/>
        <v>0</v>
      </c>
      <c r="AL23" s="206">
        <f t="shared" si="4"/>
        <v>0</v>
      </c>
      <c r="AM23" s="206"/>
      <c r="AN23" s="206"/>
      <c r="AO23" s="206"/>
      <c r="AP23" s="206">
        <f t="shared" si="8"/>
        <v>0</v>
      </c>
      <c r="AQ23" s="206">
        <f t="shared" si="9"/>
        <v>0</v>
      </c>
      <c r="AR23" s="206">
        <f t="shared" si="10"/>
        <v>0</v>
      </c>
      <c r="AS23" s="206">
        <f t="shared" si="11"/>
        <v>0</v>
      </c>
      <c r="AT23" s="206">
        <f t="shared" ref="AT23:AT25" si="19">COUNTIF($D23:$AH23,"有")</f>
        <v>0</v>
      </c>
      <c r="AU23" s="206">
        <f t="shared" si="18"/>
        <v>0</v>
      </c>
      <c r="AV23" s="206">
        <f t="shared" si="14"/>
        <v>0</v>
      </c>
      <c r="AW23" s="206">
        <v>15</v>
      </c>
      <c r="AX23" s="134" t="str">
        <f t="shared" si="17"/>
        <v>OK</v>
      </c>
      <c r="AY23" s="132"/>
      <c r="AZ23" s="132"/>
      <c r="BA23" s="132"/>
      <c r="BB23" s="132"/>
      <c r="BC23" s="132"/>
      <c r="BD23" s="132"/>
      <c r="BE23" s="132"/>
      <c r="BF23" s="132"/>
    </row>
    <row r="24" spans="1:58" s="177" customFormat="1" ht="35" customHeight="1">
      <c r="A24" s="132"/>
      <c r="B24" s="155" t="s">
        <v>36</v>
      </c>
      <c r="C24" s="167" t="s">
        <v>49</v>
      </c>
      <c r="D24" s="298"/>
      <c r="E24" s="291"/>
      <c r="F24" s="291"/>
      <c r="G24" s="290"/>
      <c r="H24" s="291"/>
      <c r="I24" s="291"/>
      <c r="J24" s="291"/>
      <c r="K24" s="291"/>
      <c r="L24" s="291"/>
      <c r="M24" s="291"/>
      <c r="N24" s="292"/>
      <c r="O24" s="291"/>
      <c r="P24" s="291"/>
      <c r="Q24" s="291"/>
      <c r="R24" s="291"/>
      <c r="S24" s="291"/>
      <c r="T24" s="291"/>
      <c r="U24" s="292"/>
      <c r="V24" s="291"/>
      <c r="W24" s="291"/>
      <c r="X24" s="291"/>
      <c r="Y24" s="291"/>
      <c r="Z24" s="291"/>
      <c r="AA24" s="291"/>
      <c r="AB24" s="290"/>
      <c r="AC24" s="291"/>
      <c r="AD24" s="291"/>
      <c r="AE24" s="291"/>
      <c r="AF24" s="291"/>
      <c r="AG24" s="291"/>
      <c r="AH24" s="311"/>
      <c r="AI24" s="231"/>
      <c r="AJ24" s="206"/>
      <c r="AK24" s="206">
        <f t="shared" si="3"/>
        <v>0</v>
      </c>
      <c r="AL24" s="206">
        <f t="shared" si="4"/>
        <v>0</v>
      </c>
      <c r="AM24" s="206"/>
      <c r="AN24" s="206"/>
      <c r="AO24" s="206"/>
      <c r="AP24" s="206">
        <f t="shared" si="8"/>
        <v>0</v>
      </c>
      <c r="AQ24" s="206">
        <f t="shared" si="9"/>
        <v>0</v>
      </c>
      <c r="AR24" s="206">
        <f t="shared" si="10"/>
        <v>0</v>
      </c>
      <c r="AS24" s="206">
        <f t="shared" si="11"/>
        <v>0</v>
      </c>
      <c r="AT24" s="206">
        <f t="shared" si="19"/>
        <v>0</v>
      </c>
      <c r="AU24" s="206">
        <f t="shared" si="18"/>
        <v>0</v>
      </c>
      <c r="AV24" s="206">
        <f t="shared" si="14"/>
        <v>0</v>
      </c>
      <c r="AW24" s="206"/>
      <c r="AX24" s="134"/>
      <c r="AY24" s="132"/>
      <c r="AZ24" s="132"/>
      <c r="BA24" s="132"/>
      <c r="BB24" s="132"/>
      <c r="BC24" s="132"/>
      <c r="BD24" s="132"/>
      <c r="BE24" s="132"/>
      <c r="BF24" s="132"/>
    </row>
    <row r="25" spans="1:58" ht="35" customHeight="1" thickBot="1">
      <c r="B25" s="168" t="s">
        <v>36</v>
      </c>
      <c r="C25" s="169" t="s">
        <v>73</v>
      </c>
      <c r="D25" s="299"/>
      <c r="E25" s="300"/>
      <c r="F25" s="300"/>
      <c r="G25" s="300"/>
      <c r="H25" s="300"/>
      <c r="I25" s="300"/>
      <c r="J25" s="300"/>
      <c r="K25" s="300"/>
      <c r="L25" s="300"/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  <c r="AA25" s="300"/>
      <c r="AB25" s="300"/>
      <c r="AC25" s="300"/>
      <c r="AD25" s="300"/>
      <c r="AE25" s="300"/>
      <c r="AF25" s="301"/>
      <c r="AG25" s="300"/>
      <c r="AH25" s="315"/>
      <c r="AI25" s="188"/>
      <c r="AJ25" s="206"/>
      <c r="AK25" s="206">
        <f t="shared" si="3"/>
        <v>0</v>
      </c>
      <c r="AL25" s="206">
        <f t="shared" si="4"/>
        <v>0</v>
      </c>
      <c r="AM25" s="206"/>
      <c r="AN25" s="206"/>
      <c r="AO25" s="206"/>
      <c r="AP25" s="206">
        <f t="shared" si="8"/>
        <v>0</v>
      </c>
      <c r="AQ25" s="206">
        <f t="shared" si="9"/>
        <v>0</v>
      </c>
      <c r="AR25" s="206">
        <f t="shared" si="10"/>
        <v>0</v>
      </c>
      <c r="AS25" s="206">
        <f t="shared" si="11"/>
        <v>0</v>
      </c>
      <c r="AT25" s="206">
        <f t="shared" si="19"/>
        <v>0</v>
      </c>
      <c r="AU25" s="206">
        <f t="shared" si="18"/>
        <v>0</v>
      </c>
      <c r="AV25" s="206">
        <f t="shared" si="14"/>
        <v>0</v>
      </c>
      <c r="AW25" s="206"/>
      <c r="AX25" s="134"/>
    </row>
    <row r="26" spans="1:58" ht="34.5" customHeight="1" thickBot="1">
      <c r="B26" s="177"/>
      <c r="C26" s="241"/>
      <c r="D26" s="242"/>
      <c r="E26" s="243"/>
      <c r="F26" s="243"/>
      <c r="G26" s="244"/>
      <c r="H26" s="243"/>
      <c r="I26" s="244"/>
      <c r="J26" s="241"/>
      <c r="K26" s="241"/>
      <c r="L26" s="242"/>
      <c r="M26" s="243"/>
      <c r="N26" s="243"/>
      <c r="O26" s="243"/>
      <c r="P26" s="243"/>
      <c r="Q26" s="244"/>
      <c r="R26" s="241"/>
      <c r="S26" s="242"/>
      <c r="T26" s="241"/>
      <c r="U26" s="241"/>
      <c r="V26" s="241"/>
      <c r="W26" s="241"/>
      <c r="X26" s="243"/>
      <c r="Y26" s="243"/>
      <c r="Z26" s="243"/>
      <c r="AA26" s="243"/>
      <c r="AB26" s="242"/>
      <c r="AC26" s="243"/>
      <c r="AD26" s="243"/>
      <c r="AE26" s="243"/>
      <c r="AF26" s="243"/>
      <c r="AG26" s="177"/>
      <c r="AH26" s="177"/>
      <c r="AJ26" s="206">
        <f t="shared" ref="AJ26:AP26" si="20">SUM(AJ6:AJ25)</f>
        <v>0</v>
      </c>
      <c r="AK26" s="206">
        <f t="shared" si="20"/>
        <v>0</v>
      </c>
      <c r="AL26" s="206">
        <f t="shared" si="20"/>
        <v>0</v>
      </c>
      <c r="AM26" s="206">
        <f t="shared" si="20"/>
        <v>0</v>
      </c>
      <c r="AN26" s="206">
        <f t="shared" si="20"/>
        <v>0</v>
      </c>
      <c r="AO26" s="206">
        <f t="shared" si="20"/>
        <v>0</v>
      </c>
      <c r="AP26" s="206">
        <f t="shared" si="20"/>
        <v>0</v>
      </c>
      <c r="AQ26" s="206">
        <f t="shared" si="9"/>
        <v>0</v>
      </c>
      <c r="AR26" s="206">
        <f t="shared" ref="AR26:AU26" si="21">SUM(AR6:AR25)</f>
        <v>0</v>
      </c>
      <c r="AS26" s="206">
        <f t="shared" si="21"/>
        <v>0</v>
      </c>
      <c r="AT26" s="206">
        <f t="shared" si="21"/>
        <v>0</v>
      </c>
      <c r="AU26" s="206">
        <f t="shared" si="21"/>
        <v>0</v>
      </c>
      <c r="AV26" s="206">
        <f t="shared" si="14"/>
        <v>0</v>
      </c>
      <c r="AW26" s="206"/>
      <c r="AX26" s="134"/>
    </row>
    <row r="27" spans="1:58" ht="30" customHeight="1">
      <c r="B27" s="372" t="s">
        <v>52</v>
      </c>
      <c r="C27" s="251" t="s">
        <v>69</v>
      </c>
      <c r="D27" s="246">
        <f>COUNTIF(D$6:D$15,"A")</f>
        <v>0</v>
      </c>
      <c r="E27" s="246">
        <f t="shared" ref="E27:AH27" si="22">COUNTIF(E$6:E$15,"A")</f>
        <v>0</v>
      </c>
      <c r="F27" s="246">
        <f t="shared" si="22"/>
        <v>0</v>
      </c>
      <c r="G27" s="246">
        <f t="shared" si="22"/>
        <v>0</v>
      </c>
      <c r="H27" s="246">
        <f t="shared" si="22"/>
        <v>0</v>
      </c>
      <c r="I27" s="246">
        <f t="shared" si="22"/>
        <v>0</v>
      </c>
      <c r="J27" s="246">
        <f t="shared" si="22"/>
        <v>0</v>
      </c>
      <c r="K27" s="246">
        <f t="shared" si="22"/>
        <v>0</v>
      </c>
      <c r="L27" s="246">
        <f t="shared" si="22"/>
        <v>0</v>
      </c>
      <c r="M27" s="246">
        <f t="shared" si="22"/>
        <v>0</v>
      </c>
      <c r="N27" s="246">
        <f t="shared" si="22"/>
        <v>0</v>
      </c>
      <c r="O27" s="246">
        <f t="shared" si="22"/>
        <v>0</v>
      </c>
      <c r="P27" s="246">
        <f t="shared" si="22"/>
        <v>0</v>
      </c>
      <c r="Q27" s="246">
        <f t="shared" si="22"/>
        <v>0</v>
      </c>
      <c r="R27" s="246">
        <f t="shared" si="22"/>
        <v>0</v>
      </c>
      <c r="S27" s="246">
        <f t="shared" si="22"/>
        <v>0</v>
      </c>
      <c r="T27" s="246">
        <f t="shared" si="22"/>
        <v>0</v>
      </c>
      <c r="U27" s="246">
        <f t="shared" si="22"/>
        <v>0</v>
      </c>
      <c r="V27" s="246">
        <f t="shared" si="22"/>
        <v>0</v>
      </c>
      <c r="W27" s="246">
        <f t="shared" si="22"/>
        <v>0</v>
      </c>
      <c r="X27" s="246">
        <f t="shared" si="22"/>
        <v>0</v>
      </c>
      <c r="Y27" s="246">
        <f t="shared" si="22"/>
        <v>0</v>
      </c>
      <c r="Z27" s="246">
        <f t="shared" si="22"/>
        <v>0</v>
      </c>
      <c r="AA27" s="246">
        <f t="shared" si="22"/>
        <v>0</v>
      </c>
      <c r="AB27" s="246">
        <f t="shared" si="22"/>
        <v>0</v>
      </c>
      <c r="AC27" s="246">
        <f t="shared" si="22"/>
        <v>0</v>
      </c>
      <c r="AD27" s="246">
        <f t="shared" si="22"/>
        <v>0</v>
      </c>
      <c r="AE27" s="246">
        <f t="shared" si="22"/>
        <v>0</v>
      </c>
      <c r="AF27" s="246">
        <f t="shared" si="22"/>
        <v>0</v>
      </c>
      <c r="AG27" s="246">
        <f t="shared" si="22"/>
        <v>0</v>
      </c>
      <c r="AH27" s="246">
        <f t="shared" si="22"/>
        <v>0</v>
      </c>
      <c r="AJ27" s="245"/>
      <c r="AK27" s="245"/>
      <c r="AL27" s="245"/>
      <c r="AM27" s="245"/>
      <c r="AN27" s="245"/>
      <c r="AO27" s="245"/>
      <c r="AP27" s="245"/>
      <c r="AQ27" s="245"/>
      <c r="AR27" s="245"/>
      <c r="AS27" s="245"/>
      <c r="AT27" s="245"/>
      <c r="AU27" s="245"/>
      <c r="AV27" s="245"/>
      <c r="AW27" s="245"/>
    </row>
    <row r="28" spans="1:58" ht="30" customHeight="1">
      <c r="B28" s="373"/>
      <c r="C28" s="253" t="s">
        <v>37</v>
      </c>
      <c r="D28" s="246">
        <f>COUNTIF(D$6:D$15,"B")</f>
        <v>0</v>
      </c>
      <c r="E28" s="246">
        <f t="shared" ref="E28:AH28" si="23">COUNTIF(E$6:E$15,"B")</f>
        <v>0</v>
      </c>
      <c r="F28" s="246">
        <f t="shared" si="23"/>
        <v>0</v>
      </c>
      <c r="G28" s="246">
        <f t="shared" si="23"/>
        <v>0</v>
      </c>
      <c r="H28" s="246">
        <f t="shared" si="23"/>
        <v>0</v>
      </c>
      <c r="I28" s="246">
        <f t="shared" si="23"/>
        <v>0</v>
      </c>
      <c r="J28" s="246">
        <f t="shared" si="23"/>
        <v>0</v>
      </c>
      <c r="K28" s="246">
        <f t="shared" si="23"/>
        <v>0</v>
      </c>
      <c r="L28" s="246">
        <f t="shared" si="23"/>
        <v>0</v>
      </c>
      <c r="M28" s="246">
        <f t="shared" si="23"/>
        <v>0</v>
      </c>
      <c r="N28" s="246">
        <f t="shared" si="23"/>
        <v>0</v>
      </c>
      <c r="O28" s="246">
        <f t="shared" si="23"/>
        <v>0</v>
      </c>
      <c r="P28" s="246">
        <f t="shared" si="23"/>
        <v>0</v>
      </c>
      <c r="Q28" s="246">
        <f t="shared" si="23"/>
        <v>0</v>
      </c>
      <c r="R28" s="246">
        <f t="shared" si="23"/>
        <v>0</v>
      </c>
      <c r="S28" s="246">
        <f t="shared" si="23"/>
        <v>0</v>
      </c>
      <c r="T28" s="246">
        <f t="shared" si="23"/>
        <v>0</v>
      </c>
      <c r="U28" s="246">
        <f t="shared" si="23"/>
        <v>0</v>
      </c>
      <c r="V28" s="246">
        <f t="shared" si="23"/>
        <v>0</v>
      </c>
      <c r="W28" s="246">
        <f t="shared" si="23"/>
        <v>0</v>
      </c>
      <c r="X28" s="246">
        <f t="shared" si="23"/>
        <v>0</v>
      </c>
      <c r="Y28" s="246">
        <f t="shared" si="23"/>
        <v>0</v>
      </c>
      <c r="Z28" s="246">
        <f t="shared" si="23"/>
        <v>0</v>
      </c>
      <c r="AA28" s="246">
        <f t="shared" si="23"/>
        <v>0</v>
      </c>
      <c r="AB28" s="246">
        <f t="shared" si="23"/>
        <v>0</v>
      </c>
      <c r="AC28" s="246">
        <f t="shared" si="23"/>
        <v>0</v>
      </c>
      <c r="AD28" s="246">
        <f t="shared" si="23"/>
        <v>0</v>
      </c>
      <c r="AE28" s="246">
        <f t="shared" si="23"/>
        <v>0</v>
      </c>
      <c r="AF28" s="246">
        <f t="shared" si="23"/>
        <v>0</v>
      </c>
      <c r="AG28" s="246">
        <f t="shared" si="23"/>
        <v>0</v>
      </c>
      <c r="AH28" s="246">
        <f t="shared" si="23"/>
        <v>0</v>
      </c>
      <c r="AJ28" s="245" cm="1">
        <f t="array" aca="1" ref="AJ28" ca="1">SUMPRODUCT((A1:A10)*(CELL("color", A1:A10)=7))</f>
        <v>0</v>
      </c>
      <c r="AK28" s="246"/>
      <c r="AL28" s="246"/>
      <c r="AM28" s="245"/>
      <c r="AN28" s="254"/>
      <c r="AO28" s="245"/>
      <c r="AP28" s="246"/>
      <c r="AQ28" s="245"/>
      <c r="AR28" s="245"/>
      <c r="AS28" s="245"/>
      <c r="AT28" s="246"/>
      <c r="AU28" s="246"/>
      <c r="AV28" s="245"/>
      <c r="AW28" s="245"/>
    </row>
    <row r="29" spans="1:58" ht="30" customHeight="1">
      <c r="B29" s="373"/>
      <c r="C29" s="253" t="s">
        <v>75</v>
      </c>
      <c r="D29" s="246">
        <f>COUNTIF(D$6:D$15,"C")</f>
        <v>0</v>
      </c>
      <c r="E29" s="246">
        <f t="shared" ref="E29:AH29" si="24">COUNTIF(E$6:E$15,"C")</f>
        <v>0</v>
      </c>
      <c r="F29" s="246">
        <f t="shared" si="24"/>
        <v>0</v>
      </c>
      <c r="G29" s="246">
        <f t="shared" si="24"/>
        <v>0</v>
      </c>
      <c r="H29" s="246">
        <f t="shared" si="24"/>
        <v>0</v>
      </c>
      <c r="I29" s="246">
        <f t="shared" si="24"/>
        <v>0</v>
      </c>
      <c r="J29" s="246">
        <f t="shared" si="24"/>
        <v>0</v>
      </c>
      <c r="K29" s="246">
        <f t="shared" si="24"/>
        <v>0</v>
      </c>
      <c r="L29" s="246">
        <f t="shared" si="24"/>
        <v>0</v>
      </c>
      <c r="M29" s="246">
        <f t="shared" si="24"/>
        <v>0</v>
      </c>
      <c r="N29" s="246">
        <f t="shared" si="24"/>
        <v>0</v>
      </c>
      <c r="O29" s="246">
        <f t="shared" si="24"/>
        <v>0</v>
      </c>
      <c r="P29" s="246">
        <f t="shared" si="24"/>
        <v>0</v>
      </c>
      <c r="Q29" s="246">
        <f t="shared" si="24"/>
        <v>0</v>
      </c>
      <c r="R29" s="246">
        <f t="shared" si="24"/>
        <v>0</v>
      </c>
      <c r="S29" s="246">
        <f t="shared" si="24"/>
        <v>0</v>
      </c>
      <c r="T29" s="246">
        <f t="shared" si="24"/>
        <v>0</v>
      </c>
      <c r="U29" s="246">
        <f t="shared" si="24"/>
        <v>0</v>
      </c>
      <c r="V29" s="246">
        <f t="shared" si="24"/>
        <v>0</v>
      </c>
      <c r="W29" s="246">
        <f t="shared" si="24"/>
        <v>0</v>
      </c>
      <c r="X29" s="246">
        <f t="shared" si="24"/>
        <v>0</v>
      </c>
      <c r="Y29" s="246">
        <f t="shared" si="24"/>
        <v>0</v>
      </c>
      <c r="Z29" s="246">
        <f t="shared" si="24"/>
        <v>0</v>
      </c>
      <c r="AA29" s="246">
        <f t="shared" si="24"/>
        <v>0</v>
      </c>
      <c r="AB29" s="246">
        <f t="shared" si="24"/>
        <v>0</v>
      </c>
      <c r="AC29" s="246">
        <f t="shared" si="24"/>
        <v>0</v>
      </c>
      <c r="AD29" s="246">
        <f t="shared" si="24"/>
        <v>0</v>
      </c>
      <c r="AE29" s="246">
        <f t="shared" si="24"/>
        <v>0</v>
      </c>
      <c r="AF29" s="246">
        <f t="shared" si="24"/>
        <v>0</v>
      </c>
      <c r="AG29" s="246">
        <f t="shared" si="24"/>
        <v>0</v>
      </c>
      <c r="AH29" s="246">
        <f t="shared" si="24"/>
        <v>0</v>
      </c>
      <c r="AJ29" s="245"/>
      <c r="AK29" s="246"/>
      <c r="AL29" s="246"/>
      <c r="AM29" s="245"/>
      <c r="AN29" s="245"/>
      <c r="AO29" s="245"/>
      <c r="AP29" s="246"/>
      <c r="AQ29" s="245"/>
      <c r="AR29" s="245"/>
      <c r="AS29" s="245"/>
      <c r="AT29" s="245"/>
      <c r="AU29" s="245"/>
      <c r="AV29" s="245"/>
      <c r="AW29" s="245"/>
    </row>
    <row r="30" spans="1:58" ht="30" customHeight="1">
      <c r="B30" s="373"/>
      <c r="C30" s="253" t="s">
        <v>70</v>
      </c>
      <c r="D30" s="246">
        <f>COUNTIF(D$6:D$15,"D")</f>
        <v>0</v>
      </c>
      <c r="E30" s="246">
        <f t="shared" ref="E30:AH30" si="25">COUNTIF(E$6:E$15,"D")</f>
        <v>0</v>
      </c>
      <c r="F30" s="246">
        <f t="shared" si="25"/>
        <v>0</v>
      </c>
      <c r="G30" s="246">
        <f t="shared" si="25"/>
        <v>0</v>
      </c>
      <c r="H30" s="246">
        <f t="shared" si="25"/>
        <v>0</v>
      </c>
      <c r="I30" s="246">
        <f t="shared" si="25"/>
        <v>0</v>
      </c>
      <c r="J30" s="246">
        <f t="shared" si="25"/>
        <v>0</v>
      </c>
      <c r="K30" s="246">
        <f t="shared" si="25"/>
        <v>0</v>
      </c>
      <c r="L30" s="246">
        <f t="shared" si="25"/>
        <v>0</v>
      </c>
      <c r="M30" s="246">
        <f t="shared" si="25"/>
        <v>0</v>
      </c>
      <c r="N30" s="246">
        <f t="shared" si="25"/>
        <v>0</v>
      </c>
      <c r="O30" s="246">
        <f t="shared" si="25"/>
        <v>0</v>
      </c>
      <c r="P30" s="246">
        <f t="shared" si="25"/>
        <v>0</v>
      </c>
      <c r="Q30" s="246">
        <f t="shared" si="25"/>
        <v>0</v>
      </c>
      <c r="R30" s="246">
        <f t="shared" si="25"/>
        <v>0</v>
      </c>
      <c r="S30" s="246">
        <f t="shared" si="25"/>
        <v>0</v>
      </c>
      <c r="T30" s="246">
        <f t="shared" si="25"/>
        <v>0</v>
      </c>
      <c r="U30" s="246">
        <f t="shared" si="25"/>
        <v>0</v>
      </c>
      <c r="V30" s="246">
        <f t="shared" si="25"/>
        <v>0</v>
      </c>
      <c r="W30" s="246">
        <f t="shared" si="25"/>
        <v>0</v>
      </c>
      <c r="X30" s="246">
        <f t="shared" si="25"/>
        <v>0</v>
      </c>
      <c r="Y30" s="246">
        <f t="shared" si="25"/>
        <v>0</v>
      </c>
      <c r="Z30" s="246">
        <f t="shared" si="25"/>
        <v>0</v>
      </c>
      <c r="AA30" s="246">
        <f t="shared" si="25"/>
        <v>0</v>
      </c>
      <c r="AB30" s="246">
        <f t="shared" si="25"/>
        <v>0</v>
      </c>
      <c r="AC30" s="246">
        <f t="shared" si="25"/>
        <v>0</v>
      </c>
      <c r="AD30" s="246">
        <f t="shared" si="25"/>
        <v>0</v>
      </c>
      <c r="AE30" s="246">
        <f t="shared" si="25"/>
        <v>0</v>
      </c>
      <c r="AF30" s="246">
        <f t="shared" si="25"/>
        <v>0</v>
      </c>
      <c r="AG30" s="246">
        <f t="shared" si="25"/>
        <v>0</v>
      </c>
      <c r="AH30" s="246">
        <f t="shared" si="25"/>
        <v>0</v>
      </c>
      <c r="AJ30" s="245"/>
      <c r="AK30" s="246"/>
      <c r="AL30" s="246"/>
      <c r="AM30" s="245"/>
      <c r="AN30" s="245"/>
      <c r="AO30" s="245"/>
      <c r="AP30" s="246"/>
      <c r="AQ30" s="245"/>
      <c r="AR30" s="245"/>
      <c r="AS30" s="245"/>
      <c r="AT30" s="245"/>
      <c r="AU30" s="245"/>
      <c r="AV30" s="245"/>
      <c r="AW30" s="245"/>
    </row>
    <row r="31" spans="1:58" ht="30" customHeight="1">
      <c r="B31" s="373"/>
      <c r="C31" s="253" t="s">
        <v>71</v>
      </c>
      <c r="D31" s="246">
        <f>COUNTIF(D$6:D$15,"夜")</f>
        <v>0</v>
      </c>
      <c r="E31" s="246">
        <f t="shared" ref="E31:AH31" si="26">COUNTIF(E$6:E$15,"夜")</f>
        <v>0</v>
      </c>
      <c r="F31" s="246">
        <f t="shared" si="26"/>
        <v>0</v>
      </c>
      <c r="G31" s="246">
        <f t="shared" si="26"/>
        <v>0</v>
      </c>
      <c r="H31" s="246">
        <f t="shared" si="26"/>
        <v>0</v>
      </c>
      <c r="I31" s="246">
        <f t="shared" si="26"/>
        <v>0</v>
      </c>
      <c r="J31" s="246">
        <f t="shared" si="26"/>
        <v>0</v>
      </c>
      <c r="K31" s="246">
        <f t="shared" si="26"/>
        <v>0</v>
      </c>
      <c r="L31" s="246">
        <f t="shared" si="26"/>
        <v>0</v>
      </c>
      <c r="M31" s="246">
        <f t="shared" si="26"/>
        <v>0</v>
      </c>
      <c r="N31" s="246">
        <f t="shared" si="26"/>
        <v>0</v>
      </c>
      <c r="O31" s="246">
        <f t="shared" si="26"/>
        <v>0</v>
      </c>
      <c r="P31" s="246">
        <f t="shared" si="26"/>
        <v>0</v>
      </c>
      <c r="Q31" s="246">
        <f t="shared" si="26"/>
        <v>0</v>
      </c>
      <c r="R31" s="246">
        <f t="shared" si="26"/>
        <v>0</v>
      </c>
      <c r="S31" s="246">
        <f t="shared" si="26"/>
        <v>0</v>
      </c>
      <c r="T31" s="246">
        <f t="shared" si="26"/>
        <v>0</v>
      </c>
      <c r="U31" s="246">
        <f t="shared" si="26"/>
        <v>0</v>
      </c>
      <c r="V31" s="246">
        <f t="shared" si="26"/>
        <v>0</v>
      </c>
      <c r="W31" s="246">
        <f t="shared" si="26"/>
        <v>0</v>
      </c>
      <c r="X31" s="246">
        <f t="shared" si="26"/>
        <v>0</v>
      </c>
      <c r="Y31" s="246">
        <f t="shared" si="26"/>
        <v>0</v>
      </c>
      <c r="Z31" s="246">
        <f t="shared" si="26"/>
        <v>0</v>
      </c>
      <c r="AA31" s="246">
        <f t="shared" si="26"/>
        <v>0</v>
      </c>
      <c r="AB31" s="246">
        <f t="shared" si="26"/>
        <v>0</v>
      </c>
      <c r="AC31" s="246">
        <f t="shared" si="26"/>
        <v>0</v>
      </c>
      <c r="AD31" s="246">
        <f t="shared" si="26"/>
        <v>0</v>
      </c>
      <c r="AE31" s="246">
        <f t="shared" si="26"/>
        <v>0</v>
      </c>
      <c r="AF31" s="246">
        <f t="shared" si="26"/>
        <v>0</v>
      </c>
      <c r="AG31" s="246">
        <f t="shared" si="26"/>
        <v>0</v>
      </c>
      <c r="AH31" s="246">
        <f t="shared" si="26"/>
        <v>0</v>
      </c>
      <c r="AJ31" s="245"/>
      <c r="AK31" s="246"/>
      <c r="AL31" s="246"/>
      <c r="AM31" s="245"/>
      <c r="AN31" s="247"/>
      <c r="AO31" s="245"/>
      <c r="AP31" s="246"/>
      <c r="AQ31" s="245"/>
      <c r="AR31" s="245"/>
      <c r="AS31" s="245"/>
      <c r="AT31" s="245"/>
      <c r="AU31" s="245"/>
      <c r="AV31" s="245"/>
      <c r="AW31" s="245"/>
    </row>
    <row r="32" spans="1:58" ht="30" customHeight="1">
      <c r="B32" s="373"/>
      <c r="C32" s="253" t="s">
        <v>72</v>
      </c>
      <c r="D32" s="246">
        <f>COUNTIF(D$6:D$15,"明")</f>
        <v>0</v>
      </c>
      <c r="E32" s="246">
        <f t="shared" ref="E32:AH32" si="27">COUNTIF(E$6:E$15,"明")</f>
        <v>0</v>
      </c>
      <c r="F32" s="246">
        <f t="shared" si="27"/>
        <v>0</v>
      </c>
      <c r="G32" s="246">
        <f t="shared" si="27"/>
        <v>0</v>
      </c>
      <c r="H32" s="246">
        <f t="shared" si="27"/>
        <v>0</v>
      </c>
      <c r="I32" s="246">
        <f t="shared" si="27"/>
        <v>0</v>
      </c>
      <c r="J32" s="246">
        <f t="shared" si="27"/>
        <v>0</v>
      </c>
      <c r="K32" s="246">
        <f t="shared" si="27"/>
        <v>0</v>
      </c>
      <c r="L32" s="246">
        <f t="shared" si="27"/>
        <v>0</v>
      </c>
      <c r="M32" s="246">
        <f t="shared" si="27"/>
        <v>0</v>
      </c>
      <c r="N32" s="246">
        <f t="shared" si="27"/>
        <v>0</v>
      </c>
      <c r="O32" s="246">
        <f t="shared" si="27"/>
        <v>0</v>
      </c>
      <c r="P32" s="246">
        <f t="shared" si="27"/>
        <v>0</v>
      </c>
      <c r="Q32" s="246">
        <f t="shared" si="27"/>
        <v>0</v>
      </c>
      <c r="R32" s="246">
        <f t="shared" si="27"/>
        <v>0</v>
      </c>
      <c r="S32" s="246">
        <f t="shared" si="27"/>
        <v>0</v>
      </c>
      <c r="T32" s="246">
        <f t="shared" si="27"/>
        <v>0</v>
      </c>
      <c r="U32" s="246">
        <f t="shared" si="27"/>
        <v>0</v>
      </c>
      <c r="V32" s="246">
        <f t="shared" si="27"/>
        <v>0</v>
      </c>
      <c r="W32" s="246">
        <f t="shared" si="27"/>
        <v>0</v>
      </c>
      <c r="X32" s="246">
        <f t="shared" si="27"/>
        <v>0</v>
      </c>
      <c r="Y32" s="246">
        <f t="shared" si="27"/>
        <v>0</v>
      </c>
      <c r="Z32" s="246">
        <f t="shared" si="27"/>
        <v>0</v>
      </c>
      <c r="AA32" s="246">
        <f t="shared" si="27"/>
        <v>0</v>
      </c>
      <c r="AB32" s="246">
        <f t="shared" si="27"/>
        <v>0</v>
      </c>
      <c r="AC32" s="246">
        <f t="shared" si="27"/>
        <v>0</v>
      </c>
      <c r="AD32" s="246">
        <f t="shared" si="27"/>
        <v>0</v>
      </c>
      <c r="AE32" s="246">
        <f t="shared" si="27"/>
        <v>0</v>
      </c>
      <c r="AF32" s="246">
        <f t="shared" si="27"/>
        <v>0</v>
      </c>
      <c r="AG32" s="246">
        <f t="shared" si="27"/>
        <v>0</v>
      </c>
      <c r="AH32" s="246">
        <f t="shared" si="27"/>
        <v>0</v>
      </c>
      <c r="AJ32" s="245"/>
      <c r="AK32" s="246"/>
      <c r="AL32" s="246"/>
      <c r="AM32" s="245"/>
      <c r="AN32" s="245"/>
      <c r="AO32" s="245"/>
      <c r="AP32" s="246"/>
      <c r="AQ32" s="245"/>
      <c r="AR32" s="245"/>
      <c r="AS32" s="245"/>
      <c r="AT32" s="245"/>
      <c r="AU32" s="245"/>
      <c r="AV32" s="245"/>
      <c r="AW32" s="245"/>
    </row>
    <row r="33" spans="2:49" ht="30" customHeight="1">
      <c r="B33" s="373"/>
      <c r="C33" s="255" t="s">
        <v>47</v>
      </c>
      <c r="D33" s="246">
        <f>SUM(D27:D32)</f>
        <v>0</v>
      </c>
      <c r="E33" s="246">
        <f t="shared" ref="E33:AH33" si="28">SUM(E27:E32)</f>
        <v>0</v>
      </c>
      <c r="F33" s="246">
        <f t="shared" si="28"/>
        <v>0</v>
      </c>
      <c r="G33" s="246">
        <f t="shared" si="28"/>
        <v>0</v>
      </c>
      <c r="H33" s="246">
        <f t="shared" si="28"/>
        <v>0</v>
      </c>
      <c r="I33" s="246">
        <f t="shared" si="28"/>
        <v>0</v>
      </c>
      <c r="J33" s="246">
        <f t="shared" si="28"/>
        <v>0</v>
      </c>
      <c r="K33" s="246">
        <f t="shared" si="28"/>
        <v>0</v>
      </c>
      <c r="L33" s="246">
        <f t="shared" si="28"/>
        <v>0</v>
      </c>
      <c r="M33" s="246">
        <f t="shared" si="28"/>
        <v>0</v>
      </c>
      <c r="N33" s="246">
        <f t="shared" si="28"/>
        <v>0</v>
      </c>
      <c r="O33" s="246">
        <f t="shared" si="28"/>
        <v>0</v>
      </c>
      <c r="P33" s="246">
        <f t="shared" si="28"/>
        <v>0</v>
      </c>
      <c r="Q33" s="246">
        <f t="shared" si="28"/>
        <v>0</v>
      </c>
      <c r="R33" s="246">
        <f t="shared" si="28"/>
        <v>0</v>
      </c>
      <c r="S33" s="246">
        <f t="shared" si="28"/>
        <v>0</v>
      </c>
      <c r="T33" s="246">
        <f t="shared" si="28"/>
        <v>0</v>
      </c>
      <c r="U33" s="246">
        <f t="shared" si="28"/>
        <v>0</v>
      </c>
      <c r="V33" s="246">
        <f t="shared" si="28"/>
        <v>0</v>
      </c>
      <c r="W33" s="246">
        <f t="shared" si="28"/>
        <v>0</v>
      </c>
      <c r="X33" s="246">
        <f t="shared" si="28"/>
        <v>0</v>
      </c>
      <c r="Y33" s="246">
        <f t="shared" si="28"/>
        <v>0</v>
      </c>
      <c r="Z33" s="246">
        <f t="shared" si="28"/>
        <v>0</v>
      </c>
      <c r="AA33" s="246">
        <f t="shared" si="28"/>
        <v>0</v>
      </c>
      <c r="AB33" s="246">
        <f t="shared" si="28"/>
        <v>0</v>
      </c>
      <c r="AC33" s="246">
        <f t="shared" si="28"/>
        <v>0</v>
      </c>
      <c r="AD33" s="246">
        <f t="shared" si="28"/>
        <v>0</v>
      </c>
      <c r="AE33" s="246">
        <f t="shared" si="28"/>
        <v>0</v>
      </c>
      <c r="AF33" s="246">
        <f t="shared" si="28"/>
        <v>0</v>
      </c>
      <c r="AG33" s="246">
        <f t="shared" si="28"/>
        <v>0</v>
      </c>
      <c r="AH33" s="246">
        <f t="shared" si="28"/>
        <v>0</v>
      </c>
      <c r="AJ33" s="245"/>
      <c r="AK33" s="246"/>
      <c r="AL33" s="246"/>
      <c r="AM33" s="245"/>
      <c r="AN33" s="247"/>
      <c r="AO33" s="245"/>
      <c r="AP33" s="246"/>
      <c r="AQ33" s="245"/>
      <c r="AR33" s="245"/>
      <c r="AS33" s="245"/>
      <c r="AT33" s="245"/>
      <c r="AU33" s="245"/>
      <c r="AV33" s="245"/>
      <c r="AW33" s="245"/>
    </row>
    <row r="34" spans="2:49" ht="30" customHeight="1">
      <c r="B34" s="373"/>
      <c r="C34" s="255" t="s">
        <v>46</v>
      </c>
      <c r="D34" s="246">
        <f>COUNTIF(D$6:D$15,"休")+COUNTIF(D$6:D$15,"希")+COUNTIF(D$6:D$15,"有")</f>
        <v>0</v>
      </c>
      <c r="E34" s="246">
        <f t="shared" ref="E34:AH34" si="29">COUNTIF(E$6:E$15,"休")+COUNTIF(E$6:E$15,"希")+COUNTIF(E$6:E$15,"有")</f>
        <v>0</v>
      </c>
      <c r="F34" s="246">
        <f t="shared" si="29"/>
        <v>0</v>
      </c>
      <c r="G34" s="246">
        <f t="shared" si="29"/>
        <v>0</v>
      </c>
      <c r="H34" s="246">
        <f t="shared" si="29"/>
        <v>0</v>
      </c>
      <c r="I34" s="246">
        <f t="shared" si="29"/>
        <v>0</v>
      </c>
      <c r="J34" s="246">
        <f t="shared" si="29"/>
        <v>0</v>
      </c>
      <c r="K34" s="246">
        <f t="shared" si="29"/>
        <v>0</v>
      </c>
      <c r="L34" s="246">
        <f t="shared" si="29"/>
        <v>0</v>
      </c>
      <c r="M34" s="246">
        <f t="shared" si="29"/>
        <v>0</v>
      </c>
      <c r="N34" s="246">
        <f t="shared" si="29"/>
        <v>0</v>
      </c>
      <c r="O34" s="246">
        <f t="shared" si="29"/>
        <v>0</v>
      </c>
      <c r="P34" s="246">
        <f t="shared" si="29"/>
        <v>0</v>
      </c>
      <c r="Q34" s="246">
        <f t="shared" si="29"/>
        <v>0</v>
      </c>
      <c r="R34" s="246">
        <f t="shared" si="29"/>
        <v>0</v>
      </c>
      <c r="S34" s="246">
        <f t="shared" si="29"/>
        <v>0</v>
      </c>
      <c r="T34" s="246">
        <f t="shared" si="29"/>
        <v>0</v>
      </c>
      <c r="U34" s="246">
        <f t="shared" si="29"/>
        <v>0</v>
      </c>
      <c r="V34" s="246">
        <f t="shared" si="29"/>
        <v>0</v>
      </c>
      <c r="W34" s="246">
        <f t="shared" si="29"/>
        <v>0</v>
      </c>
      <c r="X34" s="246">
        <f t="shared" si="29"/>
        <v>0</v>
      </c>
      <c r="Y34" s="246">
        <f t="shared" si="29"/>
        <v>0</v>
      </c>
      <c r="Z34" s="246">
        <f t="shared" si="29"/>
        <v>0</v>
      </c>
      <c r="AA34" s="246">
        <f t="shared" si="29"/>
        <v>0</v>
      </c>
      <c r="AB34" s="246">
        <f t="shared" si="29"/>
        <v>0</v>
      </c>
      <c r="AC34" s="246">
        <f t="shared" si="29"/>
        <v>0</v>
      </c>
      <c r="AD34" s="246">
        <f t="shared" si="29"/>
        <v>0</v>
      </c>
      <c r="AE34" s="246">
        <f t="shared" si="29"/>
        <v>0</v>
      </c>
      <c r="AF34" s="246">
        <f t="shared" si="29"/>
        <v>0</v>
      </c>
      <c r="AG34" s="246">
        <f t="shared" si="29"/>
        <v>0</v>
      </c>
      <c r="AH34" s="246">
        <f t="shared" si="29"/>
        <v>0</v>
      </c>
      <c r="AJ34" s="245"/>
      <c r="AK34" s="246"/>
      <c r="AL34" s="246"/>
      <c r="AM34" s="245"/>
      <c r="AN34" s="247"/>
      <c r="AO34" s="245"/>
      <c r="AP34" s="246"/>
      <c r="AQ34" s="245"/>
      <c r="AR34" s="245"/>
      <c r="AS34" s="245"/>
      <c r="AT34" s="245"/>
      <c r="AU34" s="245"/>
      <c r="AV34" s="245"/>
      <c r="AW34" s="245"/>
    </row>
    <row r="35" spans="2:49" ht="30" customHeight="1" thickBot="1">
      <c r="B35" s="374"/>
      <c r="C35" s="256" t="s">
        <v>40</v>
      </c>
      <c r="D35" s="277" t="str">
        <f>IF(OR(AND(D31&gt;0,D32&gt;0,D28&gt;0,D29&gt;0),AND(D31&gt;0,D32&gt;0,D29&gt;0,D30&gt;0),AND(D31&gt;0,D32&gt;0,D27&gt;0,D29&gt;0)),"成立",IF(OR(AND(D31&gt;0,D32&gt;0,D27&gt;0),AND(D31&gt;0,D32&gt;0,D30&gt;0)),"30分残業","不成立"))</f>
        <v>不成立</v>
      </c>
      <c r="E35" s="277" t="str">
        <f t="shared" ref="E35:AG35" si="30">IF(OR(AND(E31&gt;0,E32&gt;0,E28&gt;0,E29&gt;0),AND(E31&gt;0,E32&gt;0,E29&gt;0,E30&gt;0),AND(E31&gt;0,E32&gt;0,E27&gt;0,E29&gt;0)),"成立",IF(OR(AND(E31&gt;0,E32&gt;0,E27&gt;0),AND(E31&gt;0,E32&gt;0,E30&gt;0)),"30分残業","不成立"))</f>
        <v>不成立</v>
      </c>
      <c r="F35" s="277" t="str">
        <f t="shared" si="30"/>
        <v>不成立</v>
      </c>
      <c r="G35" s="277" t="str">
        <f t="shared" si="30"/>
        <v>不成立</v>
      </c>
      <c r="H35" s="277" t="str">
        <f t="shared" si="30"/>
        <v>不成立</v>
      </c>
      <c r="I35" s="277" t="str">
        <f t="shared" si="30"/>
        <v>不成立</v>
      </c>
      <c r="J35" s="277" t="str">
        <f t="shared" si="30"/>
        <v>不成立</v>
      </c>
      <c r="K35" s="277" t="str">
        <f t="shared" si="30"/>
        <v>不成立</v>
      </c>
      <c r="L35" s="277" t="str">
        <f t="shared" si="30"/>
        <v>不成立</v>
      </c>
      <c r="M35" s="277" t="str">
        <f t="shared" si="30"/>
        <v>不成立</v>
      </c>
      <c r="N35" s="277" t="str">
        <f t="shared" si="30"/>
        <v>不成立</v>
      </c>
      <c r="O35" s="277" t="str">
        <f t="shared" si="30"/>
        <v>不成立</v>
      </c>
      <c r="P35" s="277" t="str">
        <f t="shared" si="30"/>
        <v>不成立</v>
      </c>
      <c r="Q35" s="277" t="str">
        <f t="shared" si="30"/>
        <v>不成立</v>
      </c>
      <c r="R35" s="277" t="str">
        <f t="shared" si="30"/>
        <v>不成立</v>
      </c>
      <c r="S35" s="277" t="str">
        <f t="shared" si="30"/>
        <v>不成立</v>
      </c>
      <c r="T35" s="277" t="str">
        <f t="shared" si="30"/>
        <v>不成立</v>
      </c>
      <c r="U35" s="277" t="str">
        <f t="shared" si="30"/>
        <v>不成立</v>
      </c>
      <c r="V35" s="277" t="str">
        <f t="shared" si="30"/>
        <v>不成立</v>
      </c>
      <c r="W35" s="277" t="str">
        <f t="shared" si="30"/>
        <v>不成立</v>
      </c>
      <c r="X35" s="277" t="str">
        <f t="shared" si="30"/>
        <v>不成立</v>
      </c>
      <c r="Y35" s="277" t="str">
        <f t="shared" si="30"/>
        <v>不成立</v>
      </c>
      <c r="Z35" s="277" t="str">
        <f t="shared" si="30"/>
        <v>不成立</v>
      </c>
      <c r="AA35" s="277" t="str">
        <f t="shared" si="30"/>
        <v>不成立</v>
      </c>
      <c r="AB35" s="277" t="str">
        <f t="shared" si="30"/>
        <v>不成立</v>
      </c>
      <c r="AC35" s="277" t="str">
        <f t="shared" si="30"/>
        <v>不成立</v>
      </c>
      <c r="AD35" s="277" t="str">
        <f t="shared" si="30"/>
        <v>不成立</v>
      </c>
      <c r="AE35" s="277" t="str">
        <f t="shared" si="30"/>
        <v>不成立</v>
      </c>
      <c r="AF35" s="277" t="str">
        <f t="shared" si="30"/>
        <v>不成立</v>
      </c>
      <c r="AG35" s="277" t="str">
        <f t="shared" si="30"/>
        <v>不成立</v>
      </c>
      <c r="AH35" s="248" t="str">
        <f t="shared" ref="AH35" si="31">IF(OR(AND(AH31&gt;0,AH32&gt;0,AH28&gt;0,AH29&gt;0),AND(AH31&gt;0,AH32&gt;0,AH29&gt;0,AH30&gt;0)),"成立",IF(OR(AND(AH31&gt;0,AH32&gt;0,AH27&gt;0,AH29&gt;0),AND(AH31&gt;0,AH32&gt;0,AH27&gt;0),AND(AH31&gt;0,AH32&gt;0,AH30&gt;0)),"30分残業","不成立"))</f>
        <v>不成立</v>
      </c>
      <c r="AJ35" s="245"/>
      <c r="AK35" s="246"/>
      <c r="AL35" s="246"/>
      <c r="AM35" s="245"/>
      <c r="AN35" s="245"/>
      <c r="AO35" s="245"/>
      <c r="AP35" s="246"/>
      <c r="AQ35" s="245"/>
      <c r="AR35" s="245"/>
      <c r="AS35" s="245"/>
      <c r="AT35" s="245"/>
      <c r="AU35" s="245"/>
      <c r="AV35" s="245"/>
      <c r="AW35" s="245"/>
    </row>
    <row r="36" spans="2:49" ht="30" customHeight="1">
      <c r="B36" s="177"/>
      <c r="C36" s="177"/>
      <c r="D36" s="242"/>
      <c r="E36" s="243"/>
      <c r="F36" s="242"/>
      <c r="G36" s="242"/>
      <c r="H36" s="242"/>
      <c r="I36" s="242"/>
      <c r="J36" s="177"/>
      <c r="K36" s="177"/>
      <c r="L36" s="177"/>
      <c r="M36" s="177"/>
      <c r="N36" s="177"/>
      <c r="O36" s="177"/>
      <c r="P36" s="177"/>
      <c r="Q36" s="177"/>
      <c r="R36" s="177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  <c r="AH36" s="177"/>
      <c r="AK36" s="246"/>
      <c r="AL36" s="246"/>
      <c r="AP36" s="246"/>
    </row>
    <row r="37" spans="2:49" ht="30" customHeight="1" thickBot="1">
      <c r="AK37" s="246"/>
      <c r="AL37" s="246"/>
      <c r="AP37" s="246"/>
    </row>
    <row r="38" spans="2:49" ht="30" customHeight="1">
      <c r="B38" s="375" t="s">
        <v>51</v>
      </c>
      <c r="C38" s="251" t="s">
        <v>69</v>
      </c>
      <c r="D38" s="246">
        <f>COUNTIF(D$6:D$18,"A")</f>
        <v>0</v>
      </c>
      <c r="E38" s="246">
        <f t="shared" ref="E38:AH38" si="32">COUNTIF(E$6:E$18,"A")</f>
        <v>0</v>
      </c>
      <c r="F38" s="246">
        <f t="shared" si="32"/>
        <v>0</v>
      </c>
      <c r="G38" s="246">
        <f t="shared" si="32"/>
        <v>0</v>
      </c>
      <c r="H38" s="246">
        <f t="shared" si="32"/>
        <v>0</v>
      </c>
      <c r="I38" s="246">
        <f t="shared" si="32"/>
        <v>0</v>
      </c>
      <c r="J38" s="246">
        <f t="shared" si="32"/>
        <v>0</v>
      </c>
      <c r="K38" s="246">
        <f t="shared" si="32"/>
        <v>0</v>
      </c>
      <c r="L38" s="246">
        <f t="shared" si="32"/>
        <v>0</v>
      </c>
      <c r="M38" s="246">
        <f t="shared" si="32"/>
        <v>0</v>
      </c>
      <c r="N38" s="246">
        <f t="shared" si="32"/>
        <v>0</v>
      </c>
      <c r="O38" s="246">
        <f t="shared" si="32"/>
        <v>0</v>
      </c>
      <c r="P38" s="246">
        <f t="shared" si="32"/>
        <v>0</v>
      </c>
      <c r="Q38" s="246">
        <f t="shared" si="32"/>
        <v>0</v>
      </c>
      <c r="R38" s="246">
        <f t="shared" si="32"/>
        <v>0</v>
      </c>
      <c r="S38" s="246">
        <f t="shared" si="32"/>
        <v>0</v>
      </c>
      <c r="T38" s="246">
        <f t="shared" si="32"/>
        <v>0</v>
      </c>
      <c r="U38" s="246">
        <f t="shared" si="32"/>
        <v>0</v>
      </c>
      <c r="V38" s="246">
        <f t="shared" si="32"/>
        <v>0</v>
      </c>
      <c r="W38" s="246">
        <f t="shared" si="32"/>
        <v>0</v>
      </c>
      <c r="X38" s="246">
        <f t="shared" si="32"/>
        <v>0</v>
      </c>
      <c r="Y38" s="246">
        <f t="shared" si="32"/>
        <v>0</v>
      </c>
      <c r="Z38" s="246">
        <f t="shared" si="32"/>
        <v>0</v>
      </c>
      <c r="AA38" s="246">
        <f t="shared" si="32"/>
        <v>0</v>
      </c>
      <c r="AB38" s="246">
        <f t="shared" si="32"/>
        <v>0</v>
      </c>
      <c r="AC38" s="246">
        <f t="shared" si="32"/>
        <v>0</v>
      </c>
      <c r="AD38" s="246">
        <f t="shared" si="32"/>
        <v>0</v>
      </c>
      <c r="AE38" s="246">
        <f t="shared" si="32"/>
        <v>0</v>
      </c>
      <c r="AF38" s="246">
        <f t="shared" si="32"/>
        <v>0</v>
      </c>
      <c r="AG38" s="246">
        <f t="shared" si="32"/>
        <v>0</v>
      </c>
      <c r="AH38" s="246">
        <f t="shared" si="32"/>
        <v>0</v>
      </c>
      <c r="AK38" s="246"/>
      <c r="AL38" s="246"/>
      <c r="AP38" s="246"/>
    </row>
    <row r="39" spans="2:49" ht="30" customHeight="1">
      <c r="B39" s="376"/>
      <c r="C39" s="253" t="s">
        <v>37</v>
      </c>
      <c r="D39" s="246">
        <f>COUNTIF(D$6:D$18,"B")</f>
        <v>0</v>
      </c>
      <c r="E39" s="246">
        <f t="shared" ref="E39:AH39" si="33">COUNTIF(E$6:E$18,"B")</f>
        <v>0</v>
      </c>
      <c r="F39" s="246">
        <f t="shared" si="33"/>
        <v>0</v>
      </c>
      <c r="G39" s="246">
        <f t="shared" si="33"/>
        <v>0</v>
      </c>
      <c r="H39" s="246">
        <f t="shared" si="33"/>
        <v>0</v>
      </c>
      <c r="I39" s="246">
        <f t="shared" si="33"/>
        <v>0</v>
      </c>
      <c r="J39" s="246">
        <f t="shared" si="33"/>
        <v>0</v>
      </c>
      <c r="K39" s="246">
        <f t="shared" si="33"/>
        <v>0</v>
      </c>
      <c r="L39" s="246">
        <f t="shared" si="33"/>
        <v>0</v>
      </c>
      <c r="M39" s="246">
        <f t="shared" si="33"/>
        <v>0</v>
      </c>
      <c r="N39" s="246">
        <f t="shared" si="33"/>
        <v>0</v>
      </c>
      <c r="O39" s="246">
        <f t="shared" si="33"/>
        <v>0</v>
      </c>
      <c r="P39" s="246">
        <f t="shared" si="33"/>
        <v>0</v>
      </c>
      <c r="Q39" s="246">
        <f t="shared" si="33"/>
        <v>0</v>
      </c>
      <c r="R39" s="246">
        <f t="shared" si="33"/>
        <v>0</v>
      </c>
      <c r="S39" s="246">
        <f t="shared" si="33"/>
        <v>0</v>
      </c>
      <c r="T39" s="246">
        <f t="shared" si="33"/>
        <v>0</v>
      </c>
      <c r="U39" s="246">
        <f t="shared" si="33"/>
        <v>0</v>
      </c>
      <c r="V39" s="246">
        <f t="shared" si="33"/>
        <v>0</v>
      </c>
      <c r="W39" s="246">
        <f t="shared" si="33"/>
        <v>0</v>
      </c>
      <c r="X39" s="246">
        <f t="shared" si="33"/>
        <v>0</v>
      </c>
      <c r="Y39" s="246">
        <f t="shared" si="33"/>
        <v>0</v>
      </c>
      <c r="Z39" s="246">
        <f t="shared" si="33"/>
        <v>0</v>
      </c>
      <c r="AA39" s="246">
        <f t="shared" si="33"/>
        <v>0</v>
      </c>
      <c r="AB39" s="246">
        <f t="shared" si="33"/>
        <v>0</v>
      </c>
      <c r="AC39" s="246">
        <f t="shared" si="33"/>
        <v>0</v>
      </c>
      <c r="AD39" s="246">
        <f t="shared" si="33"/>
        <v>0</v>
      </c>
      <c r="AE39" s="246">
        <f t="shared" si="33"/>
        <v>0</v>
      </c>
      <c r="AF39" s="246">
        <f t="shared" si="33"/>
        <v>0</v>
      </c>
      <c r="AG39" s="246">
        <f t="shared" si="33"/>
        <v>0</v>
      </c>
      <c r="AH39" s="246">
        <f t="shared" si="33"/>
        <v>0</v>
      </c>
      <c r="AK39" s="246"/>
      <c r="AL39" s="246"/>
      <c r="AP39" s="246"/>
    </row>
    <row r="40" spans="2:49" ht="30" customHeight="1">
      <c r="B40" s="376"/>
      <c r="C40" s="253" t="s">
        <v>75</v>
      </c>
      <c r="D40" s="246">
        <f>COUNTIF(D$6:D$18,"C")</f>
        <v>0</v>
      </c>
      <c r="E40" s="246">
        <f t="shared" ref="E40:AH40" si="34">COUNTIF(E$6:E$18,"C")</f>
        <v>0</v>
      </c>
      <c r="F40" s="246">
        <f t="shared" si="34"/>
        <v>0</v>
      </c>
      <c r="G40" s="246">
        <f t="shared" si="34"/>
        <v>0</v>
      </c>
      <c r="H40" s="246">
        <f t="shared" si="34"/>
        <v>0</v>
      </c>
      <c r="I40" s="246">
        <f t="shared" si="34"/>
        <v>0</v>
      </c>
      <c r="J40" s="246">
        <f t="shared" si="34"/>
        <v>0</v>
      </c>
      <c r="K40" s="246">
        <f t="shared" si="34"/>
        <v>0</v>
      </c>
      <c r="L40" s="246">
        <f t="shared" si="34"/>
        <v>0</v>
      </c>
      <c r="M40" s="246">
        <f t="shared" si="34"/>
        <v>0</v>
      </c>
      <c r="N40" s="246">
        <f t="shared" si="34"/>
        <v>0</v>
      </c>
      <c r="O40" s="246">
        <f t="shared" si="34"/>
        <v>0</v>
      </c>
      <c r="P40" s="246">
        <f t="shared" si="34"/>
        <v>0</v>
      </c>
      <c r="Q40" s="246">
        <f t="shared" si="34"/>
        <v>0</v>
      </c>
      <c r="R40" s="246">
        <f t="shared" si="34"/>
        <v>0</v>
      </c>
      <c r="S40" s="246">
        <f t="shared" si="34"/>
        <v>0</v>
      </c>
      <c r="T40" s="246">
        <f t="shared" si="34"/>
        <v>0</v>
      </c>
      <c r="U40" s="246">
        <f t="shared" si="34"/>
        <v>0</v>
      </c>
      <c r="V40" s="246">
        <f t="shared" si="34"/>
        <v>0</v>
      </c>
      <c r="W40" s="246">
        <f t="shared" si="34"/>
        <v>0</v>
      </c>
      <c r="X40" s="246">
        <f t="shared" si="34"/>
        <v>0</v>
      </c>
      <c r="Y40" s="246">
        <f t="shared" si="34"/>
        <v>0</v>
      </c>
      <c r="Z40" s="246">
        <f t="shared" si="34"/>
        <v>0</v>
      </c>
      <c r="AA40" s="246">
        <f t="shared" si="34"/>
        <v>0</v>
      </c>
      <c r="AB40" s="246">
        <f t="shared" si="34"/>
        <v>0</v>
      </c>
      <c r="AC40" s="246">
        <f t="shared" si="34"/>
        <v>0</v>
      </c>
      <c r="AD40" s="246">
        <f t="shared" si="34"/>
        <v>0</v>
      </c>
      <c r="AE40" s="246">
        <f t="shared" si="34"/>
        <v>0</v>
      </c>
      <c r="AF40" s="246">
        <f t="shared" si="34"/>
        <v>0</v>
      </c>
      <c r="AG40" s="246">
        <f t="shared" si="34"/>
        <v>0</v>
      </c>
      <c r="AH40" s="246">
        <f t="shared" si="34"/>
        <v>0</v>
      </c>
      <c r="AK40" s="246"/>
      <c r="AL40" s="246"/>
      <c r="AP40" s="246"/>
    </row>
    <row r="41" spans="2:49" ht="30" customHeight="1">
      <c r="B41" s="376"/>
      <c r="C41" s="253" t="s">
        <v>70</v>
      </c>
      <c r="D41" s="246">
        <f>COUNTIF(D$6:D$18,"D")</f>
        <v>0</v>
      </c>
      <c r="E41" s="246">
        <f t="shared" ref="E41:AH41" si="35">COUNTIF(E$6:E$18,"D")</f>
        <v>0</v>
      </c>
      <c r="F41" s="246">
        <f t="shared" si="35"/>
        <v>0</v>
      </c>
      <c r="G41" s="246">
        <f t="shared" si="35"/>
        <v>0</v>
      </c>
      <c r="H41" s="246">
        <f t="shared" si="35"/>
        <v>0</v>
      </c>
      <c r="I41" s="246">
        <f t="shared" si="35"/>
        <v>0</v>
      </c>
      <c r="J41" s="246">
        <f t="shared" si="35"/>
        <v>0</v>
      </c>
      <c r="K41" s="246">
        <f t="shared" si="35"/>
        <v>0</v>
      </c>
      <c r="L41" s="246">
        <f t="shared" si="35"/>
        <v>0</v>
      </c>
      <c r="M41" s="246">
        <f t="shared" si="35"/>
        <v>0</v>
      </c>
      <c r="N41" s="246">
        <f t="shared" si="35"/>
        <v>0</v>
      </c>
      <c r="O41" s="246">
        <f t="shared" si="35"/>
        <v>0</v>
      </c>
      <c r="P41" s="246">
        <f t="shared" si="35"/>
        <v>0</v>
      </c>
      <c r="Q41" s="246">
        <f t="shared" si="35"/>
        <v>0</v>
      </c>
      <c r="R41" s="246">
        <f t="shared" si="35"/>
        <v>0</v>
      </c>
      <c r="S41" s="246">
        <f t="shared" si="35"/>
        <v>0</v>
      </c>
      <c r="T41" s="246">
        <f t="shared" si="35"/>
        <v>0</v>
      </c>
      <c r="U41" s="246">
        <f t="shared" si="35"/>
        <v>0</v>
      </c>
      <c r="V41" s="246">
        <f t="shared" si="35"/>
        <v>0</v>
      </c>
      <c r="W41" s="246">
        <f t="shared" si="35"/>
        <v>0</v>
      </c>
      <c r="X41" s="246">
        <f t="shared" si="35"/>
        <v>0</v>
      </c>
      <c r="Y41" s="246">
        <f t="shared" si="35"/>
        <v>0</v>
      </c>
      <c r="Z41" s="246">
        <f t="shared" si="35"/>
        <v>0</v>
      </c>
      <c r="AA41" s="246">
        <f t="shared" si="35"/>
        <v>0</v>
      </c>
      <c r="AB41" s="246">
        <f t="shared" si="35"/>
        <v>0</v>
      </c>
      <c r="AC41" s="246">
        <f t="shared" si="35"/>
        <v>0</v>
      </c>
      <c r="AD41" s="246">
        <f t="shared" si="35"/>
        <v>0</v>
      </c>
      <c r="AE41" s="246">
        <f t="shared" si="35"/>
        <v>0</v>
      </c>
      <c r="AF41" s="246">
        <f t="shared" si="35"/>
        <v>0</v>
      </c>
      <c r="AG41" s="246">
        <f t="shared" si="35"/>
        <v>0</v>
      </c>
      <c r="AH41" s="246">
        <f t="shared" si="35"/>
        <v>0</v>
      </c>
    </row>
    <row r="42" spans="2:49" ht="30" customHeight="1">
      <c r="B42" s="376"/>
      <c r="C42" s="253" t="s">
        <v>76</v>
      </c>
      <c r="D42" s="246">
        <f>COUNTIF(D$6:D$18,"E")</f>
        <v>0</v>
      </c>
      <c r="E42" s="246">
        <f t="shared" ref="E42:AH42" si="36">COUNTIF(E$6:E$18,"E")</f>
        <v>0</v>
      </c>
      <c r="F42" s="246">
        <f t="shared" si="36"/>
        <v>0</v>
      </c>
      <c r="G42" s="246">
        <f t="shared" si="36"/>
        <v>0</v>
      </c>
      <c r="H42" s="246">
        <f t="shared" si="36"/>
        <v>0</v>
      </c>
      <c r="I42" s="246">
        <f t="shared" si="36"/>
        <v>0</v>
      </c>
      <c r="J42" s="246">
        <f t="shared" si="36"/>
        <v>0</v>
      </c>
      <c r="K42" s="246">
        <f t="shared" si="36"/>
        <v>0</v>
      </c>
      <c r="L42" s="246">
        <f t="shared" si="36"/>
        <v>0</v>
      </c>
      <c r="M42" s="246">
        <f t="shared" si="36"/>
        <v>0</v>
      </c>
      <c r="N42" s="246">
        <f t="shared" si="36"/>
        <v>0</v>
      </c>
      <c r="O42" s="246">
        <f t="shared" si="36"/>
        <v>0</v>
      </c>
      <c r="P42" s="246">
        <f t="shared" si="36"/>
        <v>0</v>
      </c>
      <c r="Q42" s="246">
        <f t="shared" si="36"/>
        <v>0</v>
      </c>
      <c r="R42" s="246">
        <f t="shared" si="36"/>
        <v>0</v>
      </c>
      <c r="S42" s="246">
        <f t="shared" si="36"/>
        <v>0</v>
      </c>
      <c r="T42" s="246">
        <f t="shared" si="36"/>
        <v>0</v>
      </c>
      <c r="U42" s="246">
        <f t="shared" si="36"/>
        <v>0</v>
      </c>
      <c r="V42" s="246">
        <f t="shared" si="36"/>
        <v>0</v>
      </c>
      <c r="W42" s="246">
        <f t="shared" si="36"/>
        <v>0</v>
      </c>
      <c r="X42" s="246">
        <f t="shared" si="36"/>
        <v>0</v>
      </c>
      <c r="Y42" s="246">
        <f t="shared" si="36"/>
        <v>0</v>
      </c>
      <c r="Z42" s="246">
        <f t="shared" si="36"/>
        <v>0</v>
      </c>
      <c r="AA42" s="246">
        <f t="shared" si="36"/>
        <v>0</v>
      </c>
      <c r="AB42" s="246">
        <f t="shared" si="36"/>
        <v>0</v>
      </c>
      <c r="AC42" s="246">
        <f t="shared" si="36"/>
        <v>0</v>
      </c>
      <c r="AD42" s="246">
        <f t="shared" si="36"/>
        <v>0</v>
      </c>
      <c r="AE42" s="246">
        <f t="shared" si="36"/>
        <v>0</v>
      </c>
      <c r="AF42" s="246">
        <f t="shared" si="36"/>
        <v>0</v>
      </c>
      <c r="AG42" s="246">
        <f t="shared" si="36"/>
        <v>0</v>
      </c>
      <c r="AH42" s="246">
        <f t="shared" si="36"/>
        <v>0</v>
      </c>
    </row>
    <row r="43" spans="2:49" ht="30" customHeight="1">
      <c r="B43" s="376"/>
      <c r="C43" s="253" t="s">
        <v>71</v>
      </c>
      <c r="D43" s="246">
        <f>COUNTIF(D$6:D$18,"夜")</f>
        <v>0</v>
      </c>
      <c r="E43" s="246">
        <f t="shared" ref="E43:AH43" si="37">COUNTIF(E$6:E$18,"夜")</f>
        <v>0</v>
      </c>
      <c r="F43" s="246">
        <f t="shared" si="37"/>
        <v>0</v>
      </c>
      <c r="G43" s="246">
        <f t="shared" si="37"/>
        <v>0</v>
      </c>
      <c r="H43" s="246">
        <f t="shared" si="37"/>
        <v>0</v>
      </c>
      <c r="I43" s="246">
        <f t="shared" si="37"/>
        <v>0</v>
      </c>
      <c r="J43" s="246">
        <f t="shared" si="37"/>
        <v>0</v>
      </c>
      <c r="K43" s="246">
        <f t="shared" si="37"/>
        <v>0</v>
      </c>
      <c r="L43" s="246">
        <f t="shared" si="37"/>
        <v>0</v>
      </c>
      <c r="M43" s="246">
        <f t="shared" si="37"/>
        <v>0</v>
      </c>
      <c r="N43" s="246">
        <f t="shared" si="37"/>
        <v>0</v>
      </c>
      <c r="O43" s="246">
        <f t="shared" si="37"/>
        <v>0</v>
      </c>
      <c r="P43" s="246">
        <f t="shared" si="37"/>
        <v>0</v>
      </c>
      <c r="Q43" s="246">
        <f t="shared" si="37"/>
        <v>0</v>
      </c>
      <c r="R43" s="246">
        <f t="shared" si="37"/>
        <v>0</v>
      </c>
      <c r="S43" s="246">
        <f t="shared" si="37"/>
        <v>0</v>
      </c>
      <c r="T43" s="246">
        <f t="shared" si="37"/>
        <v>0</v>
      </c>
      <c r="U43" s="246">
        <f t="shared" si="37"/>
        <v>0</v>
      </c>
      <c r="V43" s="246">
        <f t="shared" si="37"/>
        <v>0</v>
      </c>
      <c r="W43" s="246">
        <f t="shared" si="37"/>
        <v>0</v>
      </c>
      <c r="X43" s="246">
        <f t="shared" si="37"/>
        <v>0</v>
      </c>
      <c r="Y43" s="246">
        <f t="shared" si="37"/>
        <v>0</v>
      </c>
      <c r="Z43" s="246">
        <f t="shared" si="37"/>
        <v>0</v>
      </c>
      <c r="AA43" s="246">
        <f t="shared" si="37"/>
        <v>0</v>
      </c>
      <c r="AB43" s="246">
        <f t="shared" si="37"/>
        <v>0</v>
      </c>
      <c r="AC43" s="246">
        <f t="shared" si="37"/>
        <v>0</v>
      </c>
      <c r="AD43" s="246">
        <f t="shared" si="37"/>
        <v>0</v>
      </c>
      <c r="AE43" s="246">
        <f t="shared" si="37"/>
        <v>0</v>
      </c>
      <c r="AF43" s="246">
        <f t="shared" si="37"/>
        <v>0</v>
      </c>
      <c r="AG43" s="246">
        <f t="shared" si="37"/>
        <v>0</v>
      </c>
      <c r="AH43" s="246">
        <f t="shared" si="37"/>
        <v>0</v>
      </c>
    </row>
    <row r="44" spans="2:49" ht="30" customHeight="1">
      <c r="B44" s="376"/>
      <c r="C44" s="253" t="s">
        <v>72</v>
      </c>
      <c r="D44" s="246">
        <f>COUNTIF(D$6:D$18,"明")</f>
        <v>0</v>
      </c>
      <c r="E44" s="246">
        <f t="shared" ref="E44:AH44" si="38">COUNTIF(E$6:E$18,"明")</f>
        <v>0</v>
      </c>
      <c r="F44" s="246">
        <f t="shared" si="38"/>
        <v>0</v>
      </c>
      <c r="G44" s="246">
        <f t="shared" si="38"/>
        <v>0</v>
      </c>
      <c r="H44" s="246">
        <f t="shared" si="38"/>
        <v>0</v>
      </c>
      <c r="I44" s="246">
        <f t="shared" si="38"/>
        <v>0</v>
      </c>
      <c r="J44" s="246">
        <f t="shared" si="38"/>
        <v>0</v>
      </c>
      <c r="K44" s="246">
        <f t="shared" si="38"/>
        <v>0</v>
      </c>
      <c r="L44" s="246">
        <f t="shared" si="38"/>
        <v>0</v>
      </c>
      <c r="M44" s="246">
        <f t="shared" si="38"/>
        <v>0</v>
      </c>
      <c r="N44" s="246">
        <f t="shared" si="38"/>
        <v>0</v>
      </c>
      <c r="O44" s="246">
        <f t="shared" si="38"/>
        <v>0</v>
      </c>
      <c r="P44" s="246">
        <f t="shared" si="38"/>
        <v>0</v>
      </c>
      <c r="Q44" s="246">
        <f t="shared" si="38"/>
        <v>0</v>
      </c>
      <c r="R44" s="246">
        <f t="shared" si="38"/>
        <v>0</v>
      </c>
      <c r="S44" s="246">
        <f t="shared" si="38"/>
        <v>0</v>
      </c>
      <c r="T44" s="246">
        <f t="shared" si="38"/>
        <v>0</v>
      </c>
      <c r="U44" s="246">
        <f t="shared" si="38"/>
        <v>0</v>
      </c>
      <c r="V44" s="246">
        <f t="shared" si="38"/>
        <v>0</v>
      </c>
      <c r="W44" s="246">
        <f t="shared" si="38"/>
        <v>0</v>
      </c>
      <c r="X44" s="246">
        <f t="shared" si="38"/>
        <v>0</v>
      </c>
      <c r="Y44" s="246">
        <f t="shared" si="38"/>
        <v>0</v>
      </c>
      <c r="Z44" s="246">
        <f t="shared" si="38"/>
        <v>0</v>
      </c>
      <c r="AA44" s="246">
        <f t="shared" si="38"/>
        <v>0</v>
      </c>
      <c r="AB44" s="246">
        <f t="shared" si="38"/>
        <v>0</v>
      </c>
      <c r="AC44" s="246">
        <f t="shared" si="38"/>
        <v>0</v>
      </c>
      <c r="AD44" s="246">
        <f t="shared" si="38"/>
        <v>0</v>
      </c>
      <c r="AE44" s="246">
        <f t="shared" si="38"/>
        <v>0</v>
      </c>
      <c r="AF44" s="246">
        <f t="shared" si="38"/>
        <v>0</v>
      </c>
      <c r="AG44" s="246">
        <f t="shared" si="38"/>
        <v>0</v>
      </c>
      <c r="AH44" s="246">
        <f t="shared" si="38"/>
        <v>0</v>
      </c>
    </row>
    <row r="45" spans="2:49" ht="30" customHeight="1">
      <c r="B45" s="376"/>
      <c r="C45" s="255" t="s">
        <v>47</v>
      </c>
      <c r="D45" s="246">
        <f>SUM(D38:D44)</f>
        <v>0</v>
      </c>
      <c r="E45" s="246">
        <f t="shared" ref="E45:AH45" si="39">SUM(E38:E44)</f>
        <v>0</v>
      </c>
      <c r="F45" s="246">
        <f t="shared" si="39"/>
        <v>0</v>
      </c>
      <c r="G45" s="246">
        <f t="shared" si="39"/>
        <v>0</v>
      </c>
      <c r="H45" s="246">
        <f t="shared" si="39"/>
        <v>0</v>
      </c>
      <c r="I45" s="246">
        <f t="shared" si="39"/>
        <v>0</v>
      </c>
      <c r="J45" s="246">
        <f t="shared" si="39"/>
        <v>0</v>
      </c>
      <c r="K45" s="246">
        <f t="shared" si="39"/>
        <v>0</v>
      </c>
      <c r="L45" s="246">
        <f t="shared" si="39"/>
        <v>0</v>
      </c>
      <c r="M45" s="246">
        <f t="shared" si="39"/>
        <v>0</v>
      </c>
      <c r="N45" s="246">
        <f t="shared" si="39"/>
        <v>0</v>
      </c>
      <c r="O45" s="246">
        <f t="shared" si="39"/>
        <v>0</v>
      </c>
      <c r="P45" s="246">
        <f t="shared" si="39"/>
        <v>0</v>
      </c>
      <c r="Q45" s="246">
        <f t="shared" si="39"/>
        <v>0</v>
      </c>
      <c r="R45" s="246">
        <f t="shared" si="39"/>
        <v>0</v>
      </c>
      <c r="S45" s="246">
        <f t="shared" si="39"/>
        <v>0</v>
      </c>
      <c r="T45" s="246">
        <f t="shared" si="39"/>
        <v>0</v>
      </c>
      <c r="U45" s="246">
        <f t="shared" si="39"/>
        <v>0</v>
      </c>
      <c r="V45" s="246">
        <f t="shared" si="39"/>
        <v>0</v>
      </c>
      <c r="W45" s="246">
        <f t="shared" si="39"/>
        <v>0</v>
      </c>
      <c r="X45" s="246">
        <f t="shared" si="39"/>
        <v>0</v>
      </c>
      <c r="Y45" s="246">
        <f t="shared" si="39"/>
        <v>0</v>
      </c>
      <c r="Z45" s="246">
        <f t="shared" si="39"/>
        <v>0</v>
      </c>
      <c r="AA45" s="246">
        <f t="shared" si="39"/>
        <v>0</v>
      </c>
      <c r="AB45" s="246">
        <f t="shared" si="39"/>
        <v>0</v>
      </c>
      <c r="AC45" s="246">
        <f t="shared" si="39"/>
        <v>0</v>
      </c>
      <c r="AD45" s="246">
        <f t="shared" si="39"/>
        <v>0</v>
      </c>
      <c r="AE45" s="246">
        <f t="shared" si="39"/>
        <v>0</v>
      </c>
      <c r="AF45" s="246">
        <f t="shared" si="39"/>
        <v>0</v>
      </c>
      <c r="AG45" s="246">
        <f t="shared" si="39"/>
        <v>0</v>
      </c>
      <c r="AH45" s="246">
        <f t="shared" si="39"/>
        <v>0</v>
      </c>
    </row>
    <row r="46" spans="2:49" ht="30" customHeight="1">
      <c r="B46" s="376"/>
      <c r="C46" s="255" t="s">
        <v>46</v>
      </c>
      <c r="D46" s="246">
        <f>COUNTIF(D$6:D$18,"休")+COUNTIF(D$6:D$18,"希")+COUNTIF(D$6:D$18,"有")</f>
        <v>0</v>
      </c>
      <c r="E46" s="246">
        <f t="shared" ref="E46:AH46" si="40">COUNTIF(E$6:E$18,"休")+COUNTIF(E$6:E$18,"希")+COUNTIF(E$6:E$18,"有")</f>
        <v>0</v>
      </c>
      <c r="F46" s="246">
        <f t="shared" si="40"/>
        <v>0</v>
      </c>
      <c r="G46" s="246">
        <f t="shared" si="40"/>
        <v>0</v>
      </c>
      <c r="H46" s="246">
        <f t="shared" si="40"/>
        <v>0</v>
      </c>
      <c r="I46" s="246">
        <f t="shared" si="40"/>
        <v>0</v>
      </c>
      <c r="J46" s="246">
        <f t="shared" si="40"/>
        <v>0</v>
      </c>
      <c r="K46" s="246">
        <f t="shared" si="40"/>
        <v>0</v>
      </c>
      <c r="L46" s="246">
        <f t="shared" si="40"/>
        <v>0</v>
      </c>
      <c r="M46" s="246">
        <f t="shared" si="40"/>
        <v>0</v>
      </c>
      <c r="N46" s="246">
        <f t="shared" si="40"/>
        <v>0</v>
      </c>
      <c r="O46" s="246">
        <f t="shared" si="40"/>
        <v>0</v>
      </c>
      <c r="P46" s="246">
        <f t="shared" si="40"/>
        <v>0</v>
      </c>
      <c r="Q46" s="246">
        <f t="shared" si="40"/>
        <v>0</v>
      </c>
      <c r="R46" s="246">
        <f t="shared" si="40"/>
        <v>0</v>
      </c>
      <c r="S46" s="246">
        <f t="shared" si="40"/>
        <v>0</v>
      </c>
      <c r="T46" s="246">
        <f t="shared" si="40"/>
        <v>0</v>
      </c>
      <c r="U46" s="246">
        <f t="shared" si="40"/>
        <v>0</v>
      </c>
      <c r="V46" s="246">
        <f t="shared" si="40"/>
        <v>0</v>
      </c>
      <c r="W46" s="246">
        <f t="shared" si="40"/>
        <v>0</v>
      </c>
      <c r="X46" s="246">
        <f t="shared" si="40"/>
        <v>0</v>
      </c>
      <c r="Y46" s="246">
        <f t="shared" si="40"/>
        <v>0</v>
      </c>
      <c r="Z46" s="246">
        <f t="shared" si="40"/>
        <v>0</v>
      </c>
      <c r="AA46" s="246">
        <f t="shared" si="40"/>
        <v>0</v>
      </c>
      <c r="AB46" s="246">
        <f t="shared" si="40"/>
        <v>0</v>
      </c>
      <c r="AC46" s="246">
        <f t="shared" si="40"/>
        <v>0</v>
      </c>
      <c r="AD46" s="246">
        <f t="shared" si="40"/>
        <v>0</v>
      </c>
      <c r="AE46" s="246">
        <f t="shared" si="40"/>
        <v>0</v>
      </c>
      <c r="AF46" s="246">
        <f t="shared" si="40"/>
        <v>0</v>
      </c>
      <c r="AG46" s="246">
        <f t="shared" si="40"/>
        <v>0</v>
      </c>
      <c r="AH46" s="246">
        <f t="shared" si="40"/>
        <v>0</v>
      </c>
    </row>
    <row r="47" spans="2:49" ht="30" customHeight="1" thickBot="1">
      <c r="B47" s="377"/>
      <c r="C47" s="256" t="s">
        <v>40</v>
      </c>
      <c r="D47" s="249" t="str">
        <f>IF(AND(D38&gt;=1,D39&gt;=1,D40&gt;=1,D41&gt;=1,D43&gt;=1,D44&gt;=1),"成立",IF(AND(D43&gt;=1,D44&gt;=1,D39&gt;=1,D40&gt;=1,D41&gt;=1),"条件付","不成立"))</f>
        <v>不成立</v>
      </c>
      <c r="E47" s="249" t="str">
        <f t="shared" ref="E47:AH47" si="41">IF(AND(E38&gt;=1,E39&gt;=1,E40&gt;=1,E41&gt;=1,E43&gt;=1,E44&gt;=1),"成立",IF(AND(E43&gt;=1,E44&gt;=1,E39&gt;=1,E40&gt;=1,E41&gt;=1),"条件付","不成立"))</f>
        <v>不成立</v>
      </c>
      <c r="F47" s="249" t="str">
        <f t="shared" si="41"/>
        <v>不成立</v>
      </c>
      <c r="G47" s="249" t="str">
        <f t="shared" si="41"/>
        <v>不成立</v>
      </c>
      <c r="H47" s="249" t="str">
        <f t="shared" si="41"/>
        <v>不成立</v>
      </c>
      <c r="I47" s="249" t="str">
        <f t="shared" si="41"/>
        <v>不成立</v>
      </c>
      <c r="J47" s="249" t="str">
        <f t="shared" si="41"/>
        <v>不成立</v>
      </c>
      <c r="K47" s="249" t="str">
        <f t="shared" si="41"/>
        <v>不成立</v>
      </c>
      <c r="L47" s="249" t="str">
        <f t="shared" si="41"/>
        <v>不成立</v>
      </c>
      <c r="M47" s="249" t="str">
        <f t="shared" si="41"/>
        <v>不成立</v>
      </c>
      <c r="N47" s="249" t="str">
        <f t="shared" si="41"/>
        <v>不成立</v>
      </c>
      <c r="O47" s="249" t="str">
        <f t="shared" si="41"/>
        <v>不成立</v>
      </c>
      <c r="P47" s="249" t="str">
        <f t="shared" si="41"/>
        <v>不成立</v>
      </c>
      <c r="Q47" s="249" t="str">
        <f t="shared" si="41"/>
        <v>不成立</v>
      </c>
      <c r="R47" s="249" t="str">
        <f t="shared" si="41"/>
        <v>不成立</v>
      </c>
      <c r="S47" s="249" t="str">
        <f t="shared" si="41"/>
        <v>不成立</v>
      </c>
      <c r="T47" s="249" t="str">
        <f t="shared" si="41"/>
        <v>不成立</v>
      </c>
      <c r="U47" s="249" t="str">
        <f t="shared" si="41"/>
        <v>不成立</v>
      </c>
      <c r="V47" s="249" t="str">
        <f t="shared" si="41"/>
        <v>不成立</v>
      </c>
      <c r="W47" s="249" t="str">
        <f t="shared" si="41"/>
        <v>不成立</v>
      </c>
      <c r="X47" s="249" t="str">
        <f t="shared" si="41"/>
        <v>不成立</v>
      </c>
      <c r="Y47" s="249" t="str">
        <f t="shared" si="41"/>
        <v>不成立</v>
      </c>
      <c r="Z47" s="249" t="str">
        <f t="shared" si="41"/>
        <v>不成立</v>
      </c>
      <c r="AA47" s="249" t="str">
        <f t="shared" si="41"/>
        <v>不成立</v>
      </c>
      <c r="AB47" s="249" t="str">
        <f t="shared" si="41"/>
        <v>不成立</v>
      </c>
      <c r="AC47" s="249" t="str">
        <f t="shared" si="41"/>
        <v>不成立</v>
      </c>
      <c r="AD47" s="249" t="str">
        <f t="shared" si="41"/>
        <v>不成立</v>
      </c>
      <c r="AE47" s="249" t="str">
        <f t="shared" si="41"/>
        <v>不成立</v>
      </c>
      <c r="AF47" s="249" t="str">
        <f t="shared" si="41"/>
        <v>不成立</v>
      </c>
      <c r="AG47" s="249" t="str">
        <f t="shared" si="41"/>
        <v>不成立</v>
      </c>
      <c r="AH47" s="249" t="str">
        <f t="shared" si="41"/>
        <v>不成立</v>
      </c>
    </row>
    <row r="48" spans="2:49" ht="29.25" customHeight="1"/>
    <row r="49" spans="4:19" ht="29.25" customHeight="1"/>
    <row r="50" spans="4:19" ht="29.25" customHeight="1" thickBot="1"/>
    <row r="51" spans="4:19" ht="29.25" customHeight="1" thickBot="1">
      <c r="D51" s="378" t="s">
        <v>41</v>
      </c>
      <c r="E51" s="379"/>
      <c r="F51" s="379"/>
      <c r="G51" s="379"/>
      <c r="H51" s="379"/>
      <c r="I51" s="380"/>
      <c r="M51" s="357" t="s">
        <v>84</v>
      </c>
      <c r="N51" s="358"/>
      <c r="O51" s="358"/>
      <c r="P51" s="358"/>
      <c r="Q51" s="358"/>
      <c r="R51" s="358"/>
      <c r="S51" s="359"/>
    </row>
    <row r="52" spans="4:19" ht="29.25" customHeight="1" thickTop="1">
      <c r="D52" s="263" t="s">
        <v>13</v>
      </c>
      <c r="E52" s="351">
        <v>0.39583333333333331</v>
      </c>
      <c r="F52" s="352"/>
      <c r="G52" s="264" t="s">
        <v>42</v>
      </c>
      <c r="H52" s="352">
        <v>0.72916666666666663</v>
      </c>
      <c r="I52" s="355"/>
      <c r="M52" s="364" t="s">
        <v>84</v>
      </c>
      <c r="N52" s="365"/>
      <c r="O52" s="366"/>
      <c r="P52" s="360" t="s">
        <v>68</v>
      </c>
      <c r="Q52" s="361"/>
      <c r="R52" s="267" t="s">
        <v>59</v>
      </c>
      <c r="S52" s="268" t="s">
        <v>1</v>
      </c>
    </row>
    <row r="53" spans="4:19" ht="29.25" customHeight="1">
      <c r="D53" s="261" t="s">
        <v>58</v>
      </c>
      <c r="E53" s="353">
        <v>0.3125</v>
      </c>
      <c r="F53" s="354"/>
      <c r="G53" s="259" t="s">
        <v>42</v>
      </c>
      <c r="H53" s="354">
        <v>0.64583333333333337</v>
      </c>
      <c r="I53" s="356"/>
      <c r="M53" s="341" t="s">
        <v>84</v>
      </c>
      <c r="N53" s="342"/>
      <c r="O53" s="343"/>
      <c r="P53" s="362" t="s">
        <v>68</v>
      </c>
      <c r="Q53" s="363"/>
      <c r="R53" s="265" t="s">
        <v>58</v>
      </c>
      <c r="S53" s="269" t="s">
        <v>1</v>
      </c>
    </row>
    <row r="54" spans="4:19" ht="29.25" customHeight="1">
      <c r="D54" s="261" t="s">
        <v>1</v>
      </c>
      <c r="E54" s="381">
        <v>0.52083333333333337</v>
      </c>
      <c r="F54" s="382"/>
      <c r="G54" s="259" t="s">
        <v>42</v>
      </c>
      <c r="H54" s="387">
        <v>0.85416666666666663</v>
      </c>
      <c r="I54" s="388"/>
      <c r="M54" s="344" t="s">
        <v>85</v>
      </c>
      <c r="N54" s="345"/>
      <c r="O54" s="345"/>
      <c r="P54" s="385" t="s">
        <v>68</v>
      </c>
      <c r="Q54" s="385"/>
      <c r="R54" s="265" t="s">
        <v>13</v>
      </c>
      <c r="S54" s="269" t="s">
        <v>1</v>
      </c>
    </row>
    <row r="55" spans="4:19" ht="29.25" customHeight="1">
      <c r="D55" s="261" t="s">
        <v>59</v>
      </c>
      <c r="E55" s="381">
        <v>0.35416666666666669</v>
      </c>
      <c r="F55" s="382"/>
      <c r="G55" s="259" t="s">
        <v>42</v>
      </c>
      <c r="H55" s="387">
        <v>0.6875</v>
      </c>
      <c r="I55" s="388"/>
      <c r="J55" s="245"/>
      <c r="K55" s="245"/>
      <c r="L55" s="245"/>
      <c r="M55" s="344" t="s">
        <v>85</v>
      </c>
      <c r="N55" s="345"/>
      <c r="O55" s="345"/>
      <c r="P55" s="385" t="s">
        <v>68</v>
      </c>
      <c r="Q55" s="385"/>
      <c r="R55" s="265" t="s">
        <v>13</v>
      </c>
      <c r="S55" s="270"/>
    </row>
    <row r="56" spans="4:19" ht="29.25" customHeight="1" thickBot="1">
      <c r="D56" s="262" t="s">
        <v>83</v>
      </c>
      <c r="E56" s="383">
        <v>0.70833333333333337</v>
      </c>
      <c r="F56" s="384"/>
      <c r="G56" s="260" t="s">
        <v>42</v>
      </c>
      <c r="H56" s="389">
        <v>0.375</v>
      </c>
      <c r="I56" s="390"/>
      <c r="J56" s="245"/>
      <c r="K56" s="245"/>
      <c r="L56" s="245"/>
      <c r="M56" s="367" t="s">
        <v>86</v>
      </c>
      <c r="N56" s="368"/>
      <c r="O56" s="368"/>
      <c r="P56" s="369" t="s">
        <v>68</v>
      </c>
      <c r="Q56" s="369"/>
      <c r="R56" s="266" t="s">
        <v>59</v>
      </c>
      <c r="S56" s="271"/>
    </row>
    <row r="57" spans="4:19" ht="29.25" customHeight="1">
      <c r="J57" s="245"/>
      <c r="K57" s="245"/>
      <c r="L57" s="245"/>
    </row>
    <row r="58" spans="4:19" ht="29.25" customHeight="1">
      <c r="J58" s="245"/>
      <c r="K58" s="245"/>
      <c r="L58" s="245"/>
    </row>
    <row r="59" spans="4:19" ht="29.25" customHeight="1">
      <c r="J59" s="245"/>
      <c r="K59" s="245"/>
      <c r="L59" s="245"/>
    </row>
    <row r="60" spans="4:19" ht="29.25" customHeight="1">
      <c r="D60" s="245"/>
      <c r="E60" s="245"/>
      <c r="F60" s="245"/>
      <c r="G60" s="245"/>
      <c r="H60" s="245"/>
      <c r="I60" s="245"/>
      <c r="J60" s="245"/>
      <c r="K60" s="245"/>
      <c r="L60" s="245"/>
      <c r="M60" s="245"/>
      <c r="N60" s="245"/>
      <c r="O60" s="258"/>
    </row>
    <row r="61" spans="4:19" ht="29.25" customHeight="1">
      <c r="L61" s="245"/>
      <c r="M61" s="245"/>
      <c r="N61" s="245"/>
      <c r="O61" s="258"/>
    </row>
    <row r="62" spans="4:19" ht="29.25" customHeight="1">
      <c r="L62" s="258"/>
      <c r="M62" s="258"/>
      <c r="N62" s="258"/>
      <c r="O62" s="258"/>
    </row>
    <row r="63" spans="4:19" ht="29.25" customHeight="1"/>
    <row r="64" spans="4:19" ht="29.25" customHeight="1"/>
    <row r="65" ht="29.25" customHeight="1"/>
    <row r="66" ht="29.25" customHeight="1"/>
    <row r="67" ht="29.25" customHeight="1"/>
    <row r="68" ht="29.25" customHeight="1"/>
    <row r="69" ht="29.25" customHeight="1"/>
    <row r="70" ht="29.25" customHeight="1"/>
    <row r="71" ht="29.25" customHeight="1"/>
    <row r="72" ht="29.25" customHeight="1"/>
    <row r="73" ht="29.25" customHeight="1"/>
    <row r="74" ht="29.25" customHeight="1"/>
    <row r="75" ht="29.25" customHeight="1"/>
    <row r="76" ht="29.25" customHeight="1"/>
    <row r="77" ht="29.25" customHeight="1"/>
    <row r="78" ht="29.25" customHeight="1"/>
    <row r="79" ht="29.25" customHeight="1"/>
    <row r="80" ht="29.25" customHeight="1"/>
    <row r="81" ht="29.25" customHeight="1"/>
    <row r="82" ht="29.25" customHeight="1"/>
    <row r="83" ht="29.25" customHeight="1"/>
    <row r="84" ht="29.25" customHeight="1"/>
    <row r="85" ht="29.25" customHeight="1"/>
    <row r="86" ht="29.25" customHeight="1"/>
    <row r="87" ht="29.25" customHeight="1"/>
    <row r="88" ht="29.25" customHeight="1"/>
    <row r="89" ht="29.25" customHeight="1"/>
    <row r="90" ht="29.25" customHeight="1"/>
    <row r="91" ht="29.25" customHeight="1"/>
    <row r="92" ht="29.25" customHeight="1"/>
    <row r="93" ht="29.25" customHeight="1"/>
    <row r="94" ht="29.25" customHeight="1"/>
    <row r="95" ht="29.25" customHeight="1"/>
    <row r="96" ht="29.25" customHeight="1"/>
    <row r="97" ht="29.25" customHeight="1"/>
    <row r="98" ht="29.25" customHeight="1"/>
    <row r="99" ht="29.25" customHeight="1"/>
    <row r="100" ht="29.25" customHeight="1"/>
    <row r="101" ht="29.25" customHeight="1"/>
    <row r="102" ht="29.25" customHeight="1"/>
    <row r="103" ht="29.25" customHeight="1"/>
    <row r="104" ht="29.25" customHeight="1"/>
  </sheetData>
  <mergeCells count="28">
    <mergeCell ref="AA3:AH3"/>
    <mergeCell ref="B38:B47"/>
    <mergeCell ref="B4:C5"/>
    <mergeCell ref="B27:B35"/>
    <mergeCell ref="D2:G2"/>
    <mergeCell ref="I2:L2"/>
    <mergeCell ref="D51:I51"/>
    <mergeCell ref="M51:S51"/>
    <mergeCell ref="E52:F52"/>
    <mergeCell ref="H52:I52"/>
    <mergeCell ref="M52:O52"/>
    <mergeCell ref="P52:Q52"/>
    <mergeCell ref="E53:F53"/>
    <mergeCell ref="H53:I53"/>
    <mergeCell ref="M53:O53"/>
    <mergeCell ref="P53:Q53"/>
    <mergeCell ref="E54:F54"/>
    <mergeCell ref="H54:I54"/>
    <mergeCell ref="M54:O54"/>
    <mergeCell ref="P54:Q54"/>
    <mergeCell ref="E55:F55"/>
    <mergeCell ref="H55:I55"/>
    <mergeCell ref="M55:O55"/>
    <mergeCell ref="P55:Q55"/>
    <mergeCell ref="E56:F56"/>
    <mergeCell ref="H56:I56"/>
    <mergeCell ref="M56:O56"/>
    <mergeCell ref="P56:Q56"/>
  </mergeCells>
  <phoneticPr fontId="1"/>
  <conditionalFormatting sqref="D5:AH5">
    <cfRule type="containsText" dxfId="96" priority="69" operator="containsText" text="土">
      <formula>NOT(ISERROR(SEARCH("土",D5)))</formula>
    </cfRule>
    <cfRule type="containsText" dxfId="95" priority="70" operator="containsText" text="日">
      <formula>NOT(ISERROR(SEARCH("日",D5)))</formula>
    </cfRule>
  </conditionalFormatting>
  <conditionalFormatting sqref="D6:AH19">
    <cfRule type="containsText" dxfId="94" priority="56" operator="containsText" text="A">
      <formula>NOT(ISERROR(SEARCH("A",D6)))</formula>
    </cfRule>
    <cfRule type="containsText" dxfId="93" priority="57" operator="containsText" text="B">
      <formula>NOT(ISERROR(SEARCH("B",D6)))</formula>
    </cfRule>
    <cfRule type="containsText" dxfId="92" priority="58" operator="containsText" text="C">
      <formula>NOT(ISERROR(SEARCH("C",D6)))</formula>
    </cfRule>
    <cfRule type="containsText" dxfId="91" priority="59" operator="containsText" text="D">
      <formula>NOT(ISERROR(SEARCH("D",D6)))</formula>
    </cfRule>
    <cfRule type="containsText" dxfId="90" priority="60" operator="containsText" text="E">
      <formula>NOT(ISERROR(SEARCH("E",D6)))</formula>
    </cfRule>
    <cfRule type="containsText" dxfId="89" priority="61" operator="containsText" text="夜">
      <formula>NOT(ISERROR(SEARCH("夜",D6)))</formula>
    </cfRule>
    <cfRule type="containsText" dxfId="88" priority="62" operator="containsText" text="明">
      <formula>NOT(ISERROR(SEARCH("明",D6)))</formula>
    </cfRule>
    <cfRule type="containsText" dxfId="87" priority="63" operator="containsText" text="希">
      <formula>NOT(ISERROR(SEARCH("希",D6)))</formula>
    </cfRule>
  </conditionalFormatting>
  <conditionalFormatting sqref="D6:AH25">
    <cfRule type="containsText" dxfId="86" priority="55" operator="containsText" text="健">
      <formula>NOT(ISERROR(SEARCH("健",D6)))</formula>
    </cfRule>
    <cfRule type="containsText" dxfId="85" priority="64" operator="containsText" text="休">
      <formula>NOT(ISERROR(SEARCH("休",D6)))</formula>
    </cfRule>
    <cfRule type="containsText" dxfId="84" priority="65" operator="containsText" text="有">
      <formula>NOT(ISERROR(SEARCH("有",D6)))</formula>
    </cfRule>
    <cfRule type="containsText" dxfId="83" priority="66" operator="containsText" text="調1">
      <formula>NOT(ISERROR(SEARCH("調1",D6)))</formula>
    </cfRule>
    <cfRule type="containsText" dxfId="82" priority="67" operator="containsText" text="調2">
      <formula>NOT(ISERROR(SEARCH("調2",D6)))</formula>
    </cfRule>
    <cfRule type="containsText" dxfId="81" priority="68" operator="containsText" text="研">
      <formula>NOT(ISERROR(SEARCH("研",D6)))</formula>
    </cfRule>
  </conditionalFormatting>
  <conditionalFormatting sqref="D27:AH32">
    <cfRule type="cellIs" dxfId="80" priority="77" operator="equal">
      <formula>0</formula>
    </cfRule>
  </conditionalFormatting>
  <conditionalFormatting sqref="D34:AH34">
    <cfRule type="cellIs" dxfId="79" priority="76" operator="equal">
      <formula>0</formula>
    </cfRule>
  </conditionalFormatting>
  <conditionalFormatting sqref="D35:AH35">
    <cfRule type="containsText" dxfId="78" priority="1" operator="containsText" text="30分残業">
      <formula>NOT(ISERROR(SEARCH("30分残業",D35)))</formula>
    </cfRule>
    <cfRule type="containsText" dxfId="77" priority="2" operator="containsText" text="不成立">
      <formula>NOT(ISERROR(SEARCH("不成立",D35)))</formula>
    </cfRule>
  </conditionalFormatting>
  <conditionalFormatting sqref="D38:AH45">
    <cfRule type="cellIs" dxfId="76" priority="79" operator="equal">
      <formula>0</formula>
    </cfRule>
  </conditionalFormatting>
  <conditionalFormatting sqref="D47:AH47">
    <cfRule type="containsText" dxfId="75" priority="72" operator="containsText" text="条件付">
      <formula>NOT(ISERROR(SEARCH("条件付",D47)))</formula>
    </cfRule>
    <cfRule type="containsText" dxfId="74" priority="73" operator="containsText" text="不成立">
      <formula>NOT(ISERROR(SEARCH("不成立",D47)))</formula>
    </cfRule>
    <cfRule type="cellIs" dxfId="73" priority="78" operator="equal">
      <formula>0</formula>
    </cfRule>
  </conditionalFormatting>
  <conditionalFormatting sqref="AX6:AX26">
    <cfRule type="containsText" dxfId="72" priority="71" operator="containsText" text="NG">
      <formula>NOT(ISERROR(SEARCH("NG",AX6)))</formula>
    </cfRule>
  </conditionalFormatting>
  <pageMargins left="0.7" right="0.7" top="0.75" bottom="0.75" header="0.3" footer="0.3"/>
  <pageSetup paperSize="9" orientation="portrait" horizontalDpi="0" verticalDpi="0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12AAF01-9608-3B49-914F-0C7BAC1C3FD8}">
          <x14:formula1>
            <xm:f>リスト表!$B$2:$B$6</xm:f>
          </x14:formula1>
          <xm:sqref>D19:AH19</xm:sqref>
        </x14:dataValidation>
        <x14:dataValidation type="list" allowBlank="1" showInputMessage="1" showErrorMessage="1" xr:uid="{13500891-B762-154F-9DB5-FF15C3B62F66}">
          <x14:formula1>
            <xm:f>リスト表!$A$2:$A$15</xm:f>
          </x14:formula1>
          <xm:sqref>D4:AH18</xm:sqref>
        </x14:dataValidation>
        <x14:dataValidation type="list" allowBlank="1" showInputMessage="1" showErrorMessage="1" xr:uid="{7BA90AFB-9701-F241-B84D-5C21AE7A4BC7}">
          <x14:formula1>
            <xm:f>リスト表!$A$9:$A$15</xm:f>
          </x14:formula1>
          <xm:sqref>D20:AH25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4A81-29BF-C545-BA85-6B00B3916649}">
  <sheetPr codeName="Sheet6"/>
  <dimension ref="A1:AY109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D14" sqref="D14"/>
    </sheetView>
  </sheetViews>
  <sheetFormatPr baseColWidth="10" defaultColWidth="9" defaultRowHeight="14"/>
  <cols>
    <col min="1" max="1" width="4.1640625" style="1" customWidth="1"/>
    <col min="2" max="2" width="16.83203125" style="1" customWidth="1"/>
    <col min="3" max="3" width="14.33203125" style="1" customWidth="1"/>
    <col min="4" max="4" width="20" style="1" customWidth="1"/>
    <col min="5" max="14" width="4.6640625" style="1" customWidth="1"/>
    <col min="15" max="15" width="4.5" style="1" customWidth="1"/>
    <col min="16" max="35" width="4.6640625" style="1" customWidth="1"/>
    <col min="36" max="36" width="3.6640625" style="1" customWidth="1"/>
    <col min="37" max="37" width="8.33203125" style="1" customWidth="1"/>
    <col min="38" max="44" width="8.6640625" style="1" customWidth="1"/>
    <col min="45" max="45" width="8.33203125" style="1" customWidth="1"/>
    <col min="46" max="46" width="8" style="1" customWidth="1"/>
    <col min="47" max="47" width="8.33203125" style="1" customWidth="1"/>
    <col min="48" max="48" width="8.6640625" style="1" customWidth="1"/>
    <col min="49" max="49" width="10.33203125" style="1" customWidth="1"/>
    <col min="50" max="50" width="14.1640625" style="1" customWidth="1"/>
    <col min="51" max="51" width="11" style="1" customWidth="1"/>
    <col min="52" max="16384" width="9" style="1"/>
  </cols>
  <sheetData>
    <row r="1" spans="1:51" ht="15" customHeight="1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5"/>
      <c r="O1" s="5"/>
      <c r="P1" s="5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 spans="1:51" ht="25" customHeight="1" thickBot="1">
      <c r="A2" s="5"/>
      <c r="B2" s="109" t="s">
        <v>60</v>
      </c>
      <c r="C2" s="109"/>
      <c r="D2" s="65" t="s">
        <v>41</v>
      </c>
      <c r="E2" s="409">
        <f>入力フォーム!G2</f>
        <v>46143</v>
      </c>
      <c r="F2" s="409"/>
      <c r="G2" s="409"/>
      <c r="H2" s="409"/>
      <c r="I2" s="63" t="s">
        <v>42</v>
      </c>
      <c r="J2" s="410">
        <f>EOMONTH(E2,0)</f>
        <v>46173</v>
      </c>
      <c r="K2" s="410"/>
      <c r="L2" s="410"/>
      <c r="M2" s="410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5"/>
      <c r="AK2" s="5"/>
      <c r="AL2" s="108"/>
      <c r="AM2" s="108"/>
      <c r="AN2" s="129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 spans="1:51" ht="25.5" customHeight="1" thickBot="1">
      <c r="A3" s="5"/>
      <c r="B3" s="5"/>
      <c r="C3" s="5"/>
      <c r="D3" s="42"/>
      <c r="E3" s="6"/>
      <c r="F3" s="7"/>
      <c r="G3" s="5"/>
      <c r="H3" s="7"/>
      <c r="I3" s="7"/>
      <c r="J3" s="7"/>
      <c r="K3" s="7"/>
      <c r="L3" s="8"/>
      <c r="M3" s="9"/>
      <c r="N3" s="10"/>
      <c r="O3" s="11"/>
      <c r="P3" s="11"/>
      <c r="Q3" s="11"/>
      <c r="R3" s="11"/>
      <c r="S3" s="11"/>
      <c r="T3" s="11"/>
      <c r="U3" s="10"/>
      <c r="V3" s="10"/>
      <c r="W3" s="81" t="s">
        <v>50</v>
      </c>
      <c r="X3" s="10"/>
      <c r="Y3" s="10"/>
      <c r="Z3" s="11"/>
      <c r="AA3" s="11"/>
      <c r="AB3" s="411"/>
      <c r="AC3" s="411"/>
      <c r="AD3" s="411"/>
      <c r="AE3" s="411"/>
      <c r="AF3" s="411"/>
      <c r="AG3" s="411"/>
      <c r="AH3" s="411"/>
      <c r="AI3" s="411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131">
        <f>MONTH(E2)</f>
        <v>5</v>
      </c>
    </row>
    <row r="4" spans="1:51" ht="27.75" customHeight="1">
      <c r="A4" s="13"/>
      <c r="B4" s="412"/>
      <c r="C4" s="413"/>
      <c r="D4" s="414"/>
      <c r="E4" s="82">
        <f>E2</f>
        <v>46143</v>
      </c>
      <c r="F4" s="83">
        <f>E4+1</f>
        <v>46144</v>
      </c>
      <c r="G4" s="83">
        <f t="shared" ref="G4:AI4" si="0">F4+1</f>
        <v>46145</v>
      </c>
      <c r="H4" s="83">
        <f t="shared" si="0"/>
        <v>46146</v>
      </c>
      <c r="I4" s="83">
        <f t="shared" si="0"/>
        <v>46147</v>
      </c>
      <c r="J4" s="83">
        <f t="shared" si="0"/>
        <v>46148</v>
      </c>
      <c r="K4" s="83">
        <f t="shared" si="0"/>
        <v>46149</v>
      </c>
      <c r="L4" s="83">
        <f t="shared" si="0"/>
        <v>46150</v>
      </c>
      <c r="M4" s="83">
        <f t="shared" si="0"/>
        <v>46151</v>
      </c>
      <c r="N4" s="83">
        <f t="shared" si="0"/>
        <v>46152</v>
      </c>
      <c r="O4" s="83">
        <f t="shared" si="0"/>
        <v>46153</v>
      </c>
      <c r="P4" s="83">
        <f t="shared" si="0"/>
        <v>46154</v>
      </c>
      <c r="Q4" s="83">
        <f t="shared" si="0"/>
        <v>46155</v>
      </c>
      <c r="R4" s="83">
        <f t="shared" si="0"/>
        <v>46156</v>
      </c>
      <c r="S4" s="83">
        <f t="shared" si="0"/>
        <v>46157</v>
      </c>
      <c r="T4" s="83">
        <f t="shared" si="0"/>
        <v>46158</v>
      </c>
      <c r="U4" s="83">
        <f t="shared" si="0"/>
        <v>46159</v>
      </c>
      <c r="V4" s="83">
        <f t="shared" si="0"/>
        <v>46160</v>
      </c>
      <c r="W4" s="83">
        <f t="shared" si="0"/>
        <v>46161</v>
      </c>
      <c r="X4" s="83">
        <f t="shared" si="0"/>
        <v>46162</v>
      </c>
      <c r="Y4" s="99">
        <f t="shared" si="0"/>
        <v>46163</v>
      </c>
      <c r="Z4" s="83">
        <f t="shared" si="0"/>
        <v>46164</v>
      </c>
      <c r="AA4" s="83">
        <f t="shared" si="0"/>
        <v>46165</v>
      </c>
      <c r="AB4" s="83">
        <f t="shared" si="0"/>
        <v>46166</v>
      </c>
      <c r="AC4" s="99">
        <f t="shared" si="0"/>
        <v>46167</v>
      </c>
      <c r="AD4" s="100">
        <f t="shared" si="0"/>
        <v>46168</v>
      </c>
      <c r="AE4" s="83">
        <f t="shared" si="0"/>
        <v>46169</v>
      </c>
      <c r="AF4" s="83">
        <f t="shared" si="0"/>
        <v>46170</v>
      </c>
      <c r="AG4" s="83">
        <f t="shared" si="0"/>
        <v>46171</v>
      </c>
      <c r="AH4" s="99">
        <f t="shared" si="0"/>
        <v>46172</v>
      </c>
      <c r="AI4" s="123">
        <f t="shared" si="0"/>
        <v>46173</v>
      </c>
      <c r="AJ4" s="12"/>
      <c r="AK4" s="5"/>
      <c r="AL4" s="14"/>
      <c r="AM4" s="14"/>
      <c r="AN4" s="14"/>
      <c r="AO4" s="14"/>
      <c r="AP4" s="14"/>
      <c r="AQ4" s="14"/>
      <c r="AR4" s="14"/>
      <c r="AS4" s="5"/>
      <c r="AT4" s="5"/>
      <c r="AU4" s="5"/>
      <c r="AV4" s="14"/>
      <c r="AW4" s="14"/>
      <c r="AX4" s="14"/>
      <c r="AY4" s="5"/>
    </row>
    <row r="5" spans="1:51" ht="27.75" customHeight="1" thickBot="1">
      <c r="A5" s="28"/>
      <c r="B5" s="415"/>
      <c r="C5" s="416"/>
      <c r="D5" s="417"/>
      <c r="E5" s="36" t="str">
        <f>TEXT(E4,"aaa")</f>
        <v>金</v>
      </c>
      <c r="F5" s="3" t="str">
        <f>TEXT(F4,"aaa")</f>
        <v>土</v>
      </c>
      <c r="G5" s="3" t="str">
        <f t="shared" ref="G5:AI5" si="1">TEXT(G4,"aaa")</f>
        <v>日</v>
      </c>
      <c r="H5" s="3" t="str">
        <f t="shared" si="1"/>
        <v>月</v>
      </c>
      <c r="I5" s="3" t="str">
        <f t="shared" si="1"/>
        <v>火</v>
      </c>
      <c r="J5" s="3" t="str">
        <f t="shared" si="1"/>
        <v>水</v>
      </c>
      <c r="K5" s="3" t="str">
        <f t="shared" si="1"/>
        <v>木</v>
      </c>
      <c r="L5" s="3" t="str">
        <f t="shared" si="1"/>
        <v>金</v>
      </c>
      <c r="M5" s="3" t="str">
        <f t="shared" si="1"/>
        <v>土</v>
      </c>
      <c r="N5" s="3" t="str">
        <f t="shared" si="1"/>
        <v>日</v>
      </c>
      <c r="O5" s="92" t="str">
        <f t="shared" si="1"/>
        <v>月</v>
      </c>
      <c r="P5" s="3" t="str">
        <f t="shared" si="1"/>
        <v>火</v>
      </c>
      <c r="Q5" s="3" t="str">
        <f t="shared" si="1"/>
        <v>水</v>
      </c>
      <c r="R5" s="3" t="str">
        <f t="shared" si="1"/>
        <v>木</v>
      </c>
      <c r="S5" s="96" t="str">
        <f t="shared" si="1"/>
        <v>金</v>
      </c>
      <c r="T5" s="3" t="str">
        <f t="shared" si="1"/>
        <v>土</v>
      </c>
      <c r="U5" s="3" t="str">
        <f t="shared" si="1"/>
        <v>日</v>
      </c>
      <c r="V5" s="3" t="str">
        <f t="shared" si="1"/>
        <v>月</v>
      </c>
      <c r="W5" s="3" t="str">
        <f t="shared" si="1"/>
        <v>火</v>
      </c>
      <c r="X5" s="3" t="str">
        <f t="shared" si="1"/>
        <v>水</v>
      </c>
      <c r="Y5" s="3" t="str">
        <f t="shared" si="1"/>
        <v>木</v>
      </c>
      <c r="Z5" s="3" t="str">
        <f t="shared" si="1"/>
        <v>金</v>
      </c>
      <c r="AA5" s="96" t="str">
        <f t="shared" si="1"/>
        <v>土</v>
      </c>
      <c r="AB5" s="3" t="str">
        <f t="shared" si="1"/>
        <v>日</v>
      </c>
      <c r="AC5" s="3" t="str">
        <f t="shared" si="1"/>
        <v>月</v>
      </c>
      <c r="AD5" s="3" t="str">
        <f t="shared" si="1"/>
        <v>火</v>
      </c>
      <c r="AE5" s="3" t="str">
        <f t="shared" si="1"/>
        <v>水</v>
      </c>
      <c r="AF5" s="3" t="str">
        <f t="shared" si="1"/>
        <v>木</v>
      </c>
      <c r="AG5" s="3" t="str">
        <f t="shared" si="1"/>
        <v>金</v>
      </c>
      <c r="AH5" s="3" t="str">
        <f t="shared" si="1"/>
        <v>土</v>
      </c>
      <c r="AI5" s="124" t="str">
        <f t="shared" si="1"/>
        <v>日</v>
      </c>
      <c r="AJ5" s="15"/>
      <c r="AK5" s="17" t="s">
        <v>14</v>
      </c>
      <c r="AL5" s="18" t="s">
        <v>27</v>
      </c>
      <c r="AM5" s="18" t="s">
        <v>26</v>
      </c>
      <c r="AN5" s="18" t="s">
        <v>57</v>
      </c>
      <c r="AO5" s="79" t="s">
        <v>1</v>
      </c>
      <c r="AP5" s="19" t="s">
        <v>0</v>
      </c>
      <c r="AQ5" s="19" t="s">
        <v>4</v>
      </c>
      <c r="AR5" s="130" t="s">
        <v>82</v>
      </c>
      <c r="AS5" s="64" t="s">
        <v>78</v>
      </c>
      <c r="AT5" s="31" t="s">
        <v>79</v>
      </c>
      <c r="AU5" s="16" t="s">
        <v>15</v>
      </c>
      <c r="AV5" s="20" t="s">
        <v>2</v>
      </c>
      <c r="AW5" s="21" t="s">
        <v>44</v>
      </c>
      <c r="AX5" s="21" t="s">
        <v>43</v>
      </c>
      <c r="AY5" s="77" t="s">
        <v>45</v>
      </c>
    </row>
    <row r="6" spans="1:51" ht="35.25" customHeight="1">
      <c r="A6" s="43"/>
      <c r="B6" s="50" t="s">
        <v>29</v>
      </c>
      <c r="C6" s="111" t="s">
        <v>63</v>
      </c>
      <c r="D6" s="47" t="s">
        <v>5</v>
      </c>
      <c r="E6" s="66"/>
      <c r="F6" s="70"/>
      <c r="G6" s="70"/>
      <c r="H6" s="70"/>
      <c r="I6" s="70"/>
      <c r="J6" s="70"/>
      <c r="K6" s="70"/>
      <c r="L6" s="70"/>
      <c r="M6" s="67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68"/>
      <c r="AJ6" s="22"/>
      <c r="AK6" s="58">
        <f>COUNTIF($E6:$AI6,"A")</f>
        <v>0</v>
      </c>
      <c r="AL6" s="58">
        <f>COUNTIF($E6:$AI6,"B")</f>
        <v>0</v>
      </c>
      <c r="AM6" s="58">
        <f>COUNTIF($E6:$AI6,"D")</f>
        <v>0</v>
      </c>
      <c r="AN6" s="58">
        <f>+COUNTIF($E6:$AI6,"E")</f>
        <v>0</v>
      </c>
      <c r="AO6" s="58">
        <f>COUNTIF($E6:$AI6,"C")</f>
        <v>0</v>
      </c>
      <c r="AP6" s="58">
        <f>COUNTIF($E6:$AI6,"夜")</f>
        <v>0</v>
      </c>
      <c r="AQ6" s="58">
        <f>COUNTIF($E6:$AI6,"明")</f>
        <v>0</v>
      </c>
      <c r="AR6" s="58">
        <f>COUNTIF($E6:$AI6,"研")+COUNTIF($E6:$AI6,"健")</f>
        <v>0</v>
      </c>
      <c r="AS6" s="58">
        <f>COUNTIF($E6:$AI6,"調1")</f>
        <v>0</v>
      </c>
      <c r="AT6" s="58">
        <f>COUNTIF($E6:$AI6,"調2")</f>
        <v>0</v>
      </c>
      <c r="AU6" s="58">
        <f>COUNTIF($E6:$AI6,"有")</f>
        <v>0</v>
      </c>
      <c r="AV6" s="58">
        <f>COUNTIF($E6:$AI6,"休")+COUNTIF($E6:$AI6,"希")</f>
        <v>0</v>
      </c>
      <c r="AW6" s="23">
        <f>SUM(AK6:AU6)</f>
        <v>0</v>
      </c>
      <c r="AX6" s="23"/>
      <c r="AY6" s="78" t="str">
        <f>IF($AY$3=2,IF(AV6+AV7=8,"OK","NG"),IF(AV6+AV7=9,"OK","NG"))</f>
        <v>NG</v>
      </c>
    </row>
    <row r="7" spans="1:51" ht="35.25" customHeight="1">
      <c r="A7" s="43"/>
      <c r="B7" s="90" t="s">
        <v>34</v>
      </c>
      <c r="C7" s="116" t="s">
        <v>63</v>
      </c>
      <c r="D7" s="117" t="s">
        <v>66</v>
      </c>
      <c r="E7" s="69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118"/>
      <c r="AJ7" s="22"/>
      <c r="AK7" s="58">
        <f t="shared" ref="AK7:AK30" si="2">COUNTIF($E7:$AI7,"A")</f>
        <v>0</v>
      </c>
      <c r="AL7" s="58">
        <f t="shared" ref="AL7:AL30" si="3">COUNTIF($E7:$AI7,"B")</f>
        <v>0</v>
      </c>
      <c r="AM7" s="58">
        <f t="shared" ref="AM7:AM30" si="4">COUNTIF($E7:$AI7,"D")</f>
        <v>0</v>
      </c>
      <c r="AN7" s="58">
        <f t="shared" ref="AN7:AN30" si="5">+COUNTIF($E7:$AI7,"E")</f>
        <v>0</v>
      </c>
      <c r="AO7" s="58">
        <f t="shared" ref="AO7:AO30" si="6">COUNTIF($E7:$AI7,"C")</f>
        <v>0</v>
      </c>
      <c r="AP7" s="58">
        <f t="shared" ref="AP7:AP30" si="7">COUNTIF($E7:$AI7,"夜")</f>
        <v>0</v>
      </c>
      <c r="AQ7" s="58">
        <f t="shared" ref="AQ7:AQ30" si="8">COUNTIF($E7:$AI7,"明")</f>
        <v>0</v>
      </c>
      <c r="AR7" s="58">
        <f t="shared" ref="AR7:AR30" si="9">COUNTIF($E7:$AI7,"研")+COUNTIF($E7:$AI7,"健")</f>
        <v>0</v>
      </c>
      <c r="AS7" s="58">
        <f t="shared" ref="AS7:AS30" si="10">COUNTIF($E7:$AI7,"調1")</f>
        <v>0</v>
      </c>
      <c r="AT7" s="58">
        <f t="shared" ref="AT7:AT30" si="11">COUNTIF($E7:$AI7,"調2")</f>
        <v>0</v>
      </c>
      <c r="AU7" s="58">
        <f t="shared" ref="AU7:AU30" si="12">COUNTIF($E7:$AI7,"有")</f>
        <v>0</v>
      </c>
      <c r="AV7" s="58">
        <f t="shared" ref="AV7:AV30" si="13">COUNTIF($E7:$AI7,"休")+COUNTIF($E7:$AI7,"希")</f>
        <v>0</v>
      </c>
      <c r="AW7" s="23">
        <f t="shared" ref="AW7:AW30" si="14">SUM(AK7:AU7)</f>
        <v>0</v>
      </c>
      <c r="AX7" s="23"/>
      <c r="AY7" s="78"/>
    </row>
    <row r="8" spans="1:51" ht="35.25" customHeight="1">
      <c r="A8" s="43"/>
      <c r="B8" s="90" t="s">
        <v>34</v>
      </c>
      <c r="C8" s="112" t="s">
        <v>62</v>
      </c>
      <c r="D8" s="44" t="s">
        <v>8</v>
      </c>
      <c r="E8" s="93"/>
      <c r="F8" s="70"/>
      <c r="G8" s="70"/>
      <c r="H8" s="70"/>
      <c r="I8" s="70"/>
      <c r="J8" s="70"/>
      <c r="K8" s="70"/>
      <c r="L8" s="70"/>
      <c r="M8" s="70"/>
      <c r="N8" s="70"/>
      <c r="O8" s="94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94"/>
      <c r="AE8" s="70"/>
      <c r="AF8" s="70"/>
      <c r="AG8" s="70"/>
      <c r="AH8" s="95"/>
      <c r="AI8" s="74"/>
      <c r="AJ8" s="22"/>
      <c r="AK8" s="58">
        <f t="shared" si="2"/>
        <v>0</v>
      </c>
      <c r="AL8" s="58">
        <f t="shared" si="3"/>
        <v>0</v>
      </c>
      <c r="AM8" s="58">
        <f t="shared" si="4"/>
        <v>0</v>
      </c>
      <c r="AN8" s="58">
        <f t="shared" si="5"/>
        <v>0</v>
      </c>
      <c r="AO8" s="58">
        <f t="shared" si="6"/>
        <v>0</v>
      </c>
      <c r="AP8" s="58">
        <f t="shared" si="7"/>
        <v>0</v>
      </c>
      <c r="AQ8" s="58">
        <f t="shared" si="8"/>
        <v>0</v>
      </c>
      <c r="AR8" s="58">
        <f t="shared" si="9"/>
        <v>0</v>
      </c>
      <c r="AS8" s="58">
        <f t="shared" si="10"/>
        <v>0</v>
      </c>
      <c r="AT8" s="58">
        <f t="shared" si="11"/>
        <v>0</v>
      </c>
      <c r="AU8" s="58">
        <f t="shared" si="12"/>
        <v>0</v>
      </c>
      <c r="AV8" s="58">
        <f t="shared" si="13"/>
        <v>0</v>
      </c>
      <c r="AW8" s="23">
        <f t="shared" si="14"/>
        <v>0</v>
      </c>
      <c r="AX8" s="23"/>
      <c r="AY8" s="78" t="str">
        <f t="shared" ref="AY8:AY30" si="15">IF($AY$3=2,IF(AV8=8,"OK","NG"),IF(AV8=9,"OK","NG"))</f>
        <v>NG</v>
      </c>
    </row>
    <row r="9" spans="1:51" ht="35.25" customHeight="1">
      <c r="A9" s="43"/>
      <c r="B9" s="90" t="s">
        <v>34</v>
      </c>
      <c r="C9" s="112" t="s">
        <v>62</v>
      </c>
      <c r="D9" s="44" t="s">
        <v>6</v>
      </c>
      <c r="E9" s="69"/>
      <c r="F9" s="70"/>
      <c r="G9" s="70"/>
      <c r="H9" s="94"/>
      <c r="I9" s="70"/>
      <c r="J9" s="70"/>
      <c r="K9" s="70"/>
      <c r="L9" s="70"/>
      <c r="M9" s="70"/>
      <c r="N9" s="70"/>
      <c r="O9" s="70"/>
      <c r="P9" s="70"/>
      <c r="Q9" s="70"/>
      <c r="R9" s="70"/>
      <c r="S9" s="93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94"/>
      <c r="AI9" s="70"/>
      <c r="AJ9" s="22"/>
      <c r="AK9" s="58">
        <f t="shared" si="2"/>
        <v>0</v>
      </c>
      <c r="AL9" s="58">
        <f t="shared" si="3"/>
        <v>0</v>
      </c>
      <c r="AM9" s="58">
        <f t="shared" si="4"/>
        <v>0</v>
      </c>
      <c r="AN9" s="58">
        <f t="shared" si="5"/>
        <v>0</v>
      </c>
      <c r="AO9" s="58">
        <f t="shared" si="6"/>
        <v>0</v>
      </c>
      <c r="AP9" s="58">
        <f t="shared" si="7"/>
        <v>0</v>
      </c>
      <c r="AQ9" s="58">
        <f t="shared" si="8"/>
        <v>0</v>
      </c>
      <c r="AR9" s="58">
        <f t="shared" si="9"/>
        <v>0</v>
      </c>
      <c r="AS9" s="58">
        <f t="shared" si="10"/>
        <v>0</v>
      </c>
      <c r="AT9" s="58">
        <f t="shared" si="11"/>
        <v>0</v>
      </c>
      <c r="AU9" s="58">
        <f t="shared" si="12"/>
        <v>0</v>
      </c>
      <c r="AV9" s="58">
        <f t="shared" si="13"/>
        <v>0</v>
      </c>
      <c r="AW9" s="23">
        <f t="shared" si="14"/>
        <v>0</v>
      </c>
      <c r="AX9" s="23"/>
      <c r="AY9" s="78" t="str">
        <f t="shared" si="15"/>
        <v>NG</v>
      </c>
    </row>
    <row r="10" spans="1:51" ht="36" customHeight="1">
      <c r="A10" s="43"/>
      <c r="B10" s="90" t="s">
        <v>34</v>
      </c>
      <c r="C10" s="112" t="s">
        <v>63</v>
      </c>
      <c r="D10" s="44" t="s">
        <v>28</v>
      </c>
      <c r="E10" s="69"/>
      <c r="F10" s="93"/>
      <c r="G10" s="95"/>
      <c r="H10" s="73"/>
      <c r="I10" s="95"/>
      <c r="J10" s="73"/>
      <c r="K10" s="95"/>
      <c r="L10" s="95"/>
      <c r="M10" s="70"/>
      <c r="N10" s="70"/>
      <c r="O10" s="70"/>
      <c r="P10" s="70"/>
      <c r="Q10" s="95"/>
      <c r="R10" s="95"/>
      <c r="S10" s="95"/>
      <c r="T10" s="70"/>
      <c r="U10" s="70"/>
      <c r="V10" s="70"/>
      <c r="W10" s="70"/>
      <c r="X10" s="70"/>
      <c r="Y10" s="70"/>
      <c r="Z10" s="95"/>
      <c r="AA10" s="95"/>
      <c r="AB10" s="70"/>
      <c r="AC10" s="70"/>
      <c r="AD10" s="70"/>
      <c r="AE10" s="70"/>
      <c r="AF10" s="95"/>
      <c r="AG10" s="95"/>
      <c r="AH10" s="70"/>
      <c r="AI10" s="72"/>
      <c r="AJ10" s="22"/>
      <c r="AK10" s="58">
        <f t="shared" si="2"/>
        <v>0</v>
      </c>
      <c r="AL10" s="58">
        <f t="shared" si="3"/>
        <v>0</v>
      </c>
      <c r="AM10" s="58">
        <f t="shared" si="4"/>
        <v>0</v>
      </c>
      <c r="AN10" s="58">
        <f t="shared" si="5"/>
        <v>0</v>
      </c>
      <c r="AO10" s="58">
        <f t="shared" si="6"/>
        <v>0</v>
      </c>
      <c r="AP10" s="58">
        <f t="shared" si="7"/>
        <v>0</v>
      </c>
      <c r="AQ10" s="58">
        <f t="shared" si="8"/>
        <v>0</v>
      </c>
      <c r="AR10" s="58">
        <f t="shared" si="9"/>
        <v>0</v>
      </c>
      <c r="AS10" s="58">
        <f t="shared" si="10"/>
        <v>0</v>
      </c>
      <c r="AT10" s="58">
        <f t="shared" si="11"/>
        <v>0</v>
      </c>
      <c r="AU10" s="58">
        <f t="shared" si="12"/>
        <v>0</v>
      </c>
      <c r="AV10" s="58">
        <f t="shared" si="13"/>
        <v>0</v>
      </c>
      <c r="AW10" s="23">
        <f t="shared" si="14"/>
        <v>0</v>
      </c>
      <c r="AX10" s="23"/>
      <c r="AY10" s="78" t="str">
        <f>IF($AY$3=2,IF(AV10=8,"OK","NG"),IF(AV10=9,"OK","NG"))</f>
        <v>NG</v>
      </c>
    </row>
    <row r="11" spans="1:51" ht="36" customHeight="1">
      <c r="A11" s="43"/>
      <c r="B11" s="90" t="s">
        <v>34</v>
      </c>
      <c r="C11" s="112" t="s">
        <v>64</v>
      </c>
      <c r="D11" s="44" t="s">
        <v>61</v>
      </c>
      <c r="E11" s="69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1"/>
      <c r="AJ11" s="22"/>
      <c r="AK11" s="58">
        <f t="shared" si="2"/>
        <v>0</v>
      </c>
      <c r="AL11" s="58">
        <f t="shared" si="3"/>
        <v>0</v>
      </c>
      <c r="AM11" s="58">
        <f t="shared" si="4"/>
        <v>0</v>
      </c>
      <c r="AN11" s="58">
        <f t="shared" si="5"/>
        <v>0</v>
      </c>
      <c r="AO11" s="58">
        <f t="shared" si="6"/>
        <v>0</v>
      </c>
      <c r="AP11" s="58">
        <f t="shared" si="7"/>
        <v>0</v>
      </c>
      <c r="AQ11" s="58">
        <f t="shared" si="8"/>
        <v>0</v>
      </c>
      <c r="AR11" s="58">
        <f t="shared" si="9"/>
        <v>0</v>
      </c>
      <c r="AS11" s="58">
        <f t="shared" si="10"/>
        <v>0</v>
      </c>
      <c r="AT11" s="58">
        <f t="shared" si="11"/>
        <v>0</v>
      </c>
      <c r="AU11" s="58">
        <f t="shared" si="12"/>
        <v>0</v>
      </c>
      <c r="AV11" s="58">
        <f t="shared" si="13"/>
        <v>0</v>
      </c>
      <c r="AW11" s="23">
        <f t="shared" si="14"/>
        <v>0</v>
      </c>
      <c r="AX11" s="23"/>
      <c r="AY11" s="78" t="str">
        <f t="shared" si="15"/>
        <v>NG</v>
      </c>
    </row>
    <row r="12" spans="1:51" ht="36" customHeight="1">
      <c r="A12" s="43"/>
      <c r="B12" s="90" t="s">
        <v>34</v>
      </c>
      <c r="C12" s="112" t="s">
        <v>64</v>
      </c>
      <c r="D12" s="91" t="s">
        <v>56</v>
      </c>
      <c r="E12" s="97"/>
      <c r="F12" s="95"/>
      <c r="G12" s="94"/>
      <c r="H12" s="95"/>
      <c r="I12" s="93"/>
      <c r="J12" s="93"/>
      <c r="K12" s="93"/>
      <c r="L12" s="95"/>
      <c r="M12" s="95"/>
      <c r="N12" s="94"/>
      <c r="O12" s="95"/>
      <c r="P12" s="93"/>
      <c r="Q12" s="93"/>
      <c r="R12" s="93"/>
      <c r="S12" s="95"/>
      <c r="T12" s="95"/>
      <c r="U12" s="94"/>
      <c r="V12" s="95"/>
      <c r="W12" s="93"/>
      <c r="X12" s="93"/>
      <c r="Y12" s="93"/>
      <c r="Z12" s="93"/>
      <c r="AA12" s="93"/>
      <c r="AB12" s="94"/>
      <c r="AC12" s="95"/>
      <c r="AD12" s="93"/>
      <c r="AE12" s="93"/>
      <c r="AF12" s="93"/>
      <c r="AG12" s="95"/>
      <c r="AH12" s="95"/>
      <c r="AI12" s="70"/>
      <c r="AJ12" s="22"/>
      <c r="AK12" s="58">
        <f t="shared" si="2"/>
        <v>0</v>
      </c>
      <c r="AL12" s="58">
        <f t="shared" si="3"/>
        <v>0</v>
      </c>
      <c r="AM12" s="58">
        <f t="shared" si="4"/>
        <v>0</v>
      </c>
      <c r="AN12" s="58">
        <f t="shared" si="5"/>
        <v>0</v>
      </c>
      <c r="AO12" s="58">
        <f t="shared" si="6"/>
        <v>0</v>
      </c>
      <c r="AP12" s="58">
        <f t="shared" si="7"/>
        <v>0</v>
      </c>
      <c r="AQ12" s="58">
        <f t="shared" si="8"/>
        <v>0</v>
      </c>
      <c r="AR12" s="58">
        <f t="shared" si="9"/>
        <v>0</v>
      </c>
      <c r="AS12" s="58">
        <f t="shared" si="10"/>
        <v>0</v>
      </c>
      <c r="AT12" s="58">
        <f t="shared" si="11"/>
        <v>0</v>
      </c>
      <c r="AU12" s="58">
        <f t="shared" si="12"/>
        <v>0</v>
      </c>
      <c r="AV12" s="58">
        <f t="shared" si="13"/>
        <v>0</v>
      </c>
      <c r="AW12" s="23">
        <f t="shared" si="14"/>
        <v>0</v>
      </c>
      <c r="AX12" s="23"/>
      <c r="AY12" s="78" t="str">
        <f t="shared" si="15"/>
        <v>NG</v>
      </c>
    </row>
    <row r="13" spans="1:51" ht="36" customHeight="1">
      <c r="A13" s="43"/>
      <c r="B13" s="90" t="s">
        <v>34</v>
      </c>
      <c r="C13" s="112" t="s">
        <v>64</v>
      </c>
      <c r="D13" s="91" t="s">
        <v>99</v>
      </c>
      <c r="E13" s="126"/>
      <c r="F13" s="95"/>
      <c r="G13" s="94"/>
      <c r="H13" s="95"/>
      <c r="I13" s="93"/>
      <c r="J13" s="93"/>
      <c r="K13" s="93"/>
      <c r="L13" s="95"/>
      <c r="M13" s="95"/>
      <c r="N13" s="94"/>
      <c r="O13" s="95"/>
      <c r="P13" s="93"/>
      <c r="Q13" s="93"/>
      <c r="R13" s="93"/>
      <c r="S13" s="95"/>
      <c r="T13" s="95"/>
      <c r="U13" s="94"/>
      <c r="V13" s="95"/>
      <c r="W13" s="93"/>
      <c r="X13" s="93"/>
      <c r="Y13" s="93"/>
      <c r="Z13" s="93"/>
      <c r="AA13" s="93"/>
      <c r="AB13" s="94"/>
      <c r="AC13" s="95"/>
      <c r="AD13" s="93"/>
      <c r="AE13" s="93"/>
      <c r="AF13" s="93"/>
      <c r="AG13" s="95"/>
      <c r="AH13" s="95"/>
      <c r="AI13" s="71"/>
      <c r="AJ13" s="22"/>
      <c r="AK13" s="58">
        <f t="shared" si="2"/>
        <v>0</v>
      </c>
      <c r="AL13" s="58">
        <f t="shared" si="3"/>
        <v>0</v>
      </c>
      <c r="AM13" s="58">
        <f t="shared" si="4"/>
        <v>0</v>
      </c>
      <c r="AN13" s="58">
        <f t="shared" si="5"/>
        <v>0</v>
      </c>
      <c r="AO13" s="58">
        <f t="shared" si="6"/>
        <v>0</v>
      </c>
      <c r="AP13" s="58">
        <f t="shared" si="7"/>
        <v>0</v>
      </c>
      <c r="AQ13" s="58">
        <f t="shared" si="8"/>
        <v>0</v>
      </c>
      <c r="AR13" s="58">
        <f t="shared" si="9"/>
        <v>0</v>
      </c>
      <c r="AS13" s="58">
        <f t="shared" si="10"/>
        <v>0</v>
      </c>
      <c r="AT13" s="58">
        <f t="shared" si="11"/>
        <v>0</v>
      </c>
      <c r="AU13" s="58">
        <f t="shared" si="12"/>
        <v>0</v>
      </c>
      <c r="AV13" s="58">
        <f t="shared" si="13"/>
        <v>0</v>
      </c>
      <c r="AW13" s="23">
        <f t="shared" si="14"/>
        <v>0</v>
      </c>
      <c r="AX13" s="23"/>
      <c r="AY13" s="78" t="str">
        <f t="shared" si="15"/>
        <v>NG</v>
      </c>
    </row>
    <row r="14" spans="1:51" ht="35.25" customHeight="1">
      <c r="A14" s="43"/>
      <c r="B14" s="90" t="s">
        <v>34</v>
      </c>
      <c r="C14" s="112" t="s">
        <v>65</v>
      </c>
      <c r="D14" s="44" t="s">
        <v>9</v>
      </c>
      <c r="E14" s="70"/>
      <c r="F14" s="70"/>
      <c r="G14" s="73"/>
      <c r="H14" s="70"/>
      <c r="I14" s="73"/>
      <c r="J14" s="70"/>
      <c r="K14" s="70"/>
      <c r="L14" s="70"/>
      <c r="M14" s="70"/>
      <c r="N14" s="93"/>
      <c r="O14" s="93"/>
      <c r="P14" s="73"/>
      <c r="Q14" s="106"/>
      <c r="R14" s="94"/>
      <c r="S14" s="70"/>
      <c r="T14" s="94"/>
      <c r="U14" s="93"/>
      <c r="V14" s="70"/>
      <c r="W14" s="73"/>
      <c r="X14" s="93"/>
      <c r="Y14" s="93"/>
      <c r="Z14" s="95"/>
      <c r="AA14" s="70"/>
      <c r="AB14" s="93"/>
      <c r="AC14" s="70"/>
      <c r="AD14" s="93"/>
      <c r="AE14" s="93"/>
      <c r="AF14" s="93"/>
      <c r="AG14" s="70"/>
      <c r="AH14" s="93"/>
      <c r="AI14" s="72"/>
      <c r="AJ14" s="22"/>
      <c r="AK14" s="58">
        <f t="shared" si="2"/>
        <v>0</v>
      </c>
      <c r="AL14" s="58">
        <f t="shared" si="3"/>
        <v>0</v>
      </c>
      <c r="AM14" s="58">
        <f t="shared" si="4"/>
        <v>0</v>
      </c>
      <c r="AN14" s="58">
        <f t="shared" si="5"/>
        <v>0</v>
      </c>
      <c r="AO14" s="58">
        <f t="shared" si="6"/>
        <v>0</v>
      </c>
      <c r="AP14" s="58">
        <f t="shared" si="7"/>
        <v>0</v>
      </c>
      <c r="AQ14" s="58">
        <f t="shared" si="8"/>
        <v>0</v>
      </c>
      <c r="AR14" s="58">
        <f t="shared" si="9"/>
        <v>0</v>
      </c>
      <c r="AS14" s="58">
        <f t="shared" si="10"/>
        <v>0</v>
      </c>
      <c r="AT14" s="58">
        <f t="shared" si="11"/>
        <v>0</v>
      </c>
      <c r="AU14" s="58">
        <f t="shared" si="12"/>
        <v>0</v>
      </c>
      <c r="AV14" s="58">
        <f t="shared" si="13"/>
        <v>0</v>
      </c>
      <c r="AW14" s="23">
        <f t="shared" si="14"/>
        <v>0</v>
      </c>
      <c r="AX14" s="23"/>
      <c r="AY14" s="78" t="str">
        <f>IF($AY$3=2,IF(AV14=8,"OK","NG"),IF(AV14=9,"OK","NG"))</f>
        <v>NG</v>
      </c>
    </row>
    <row r="15" spans="1:51" ht="35.25" customHeight="1">
      <c r="A15" s="43"/>
      <c r="B15" s="90" t="s">
        <v>34</v>
      </c>
      <c r="C15" s="112" t="s">
        <v>64</v>
      </c>
      <c r="D15" s="91" t="s">
        <v>10</v>
      </c>
      <c r="E15" s="69"/>
      <c r="F15" s="94"/>
      <c r="G15" s="70"/>
      <c r="H15" s="70"/>
      <c r="I15" s="70"/>
      <c r="J15" s="70"/>
      <c r="K15" s="70"/>
      <c r="L15" s="70"/>
      <c r="M15" s="94"/>
      <c r="N15" s="94"/>
      <c r="O15" s="70"/>
      <c r="P15" s="73"/>
      <c r="Q15" s="95"/>
      <c r="R15" s="93"/>
      <c r="S15" s="73"/>
      <c r="T15" s="95"/>
      <c r="U15" s="93"/>
      <c r="V15" s="70"/>
      <c r="W15" s="93"/>
      <c r="X15" s="93"/>
      <c r="Y15" s="93"/>
      <c r="Z15" s="106"/>
      <c r="AA15" s="95"/>
      <c r="AB15" s="93"/>
      <c r="AC15" s="70"/>
      <c r="AD15" s="70"/>
      <c r="AE15" s="93"/>
      <c r="AF15" s="93"/>
      <c r="AG15" s="93"/>
      <c r="AH15" s="106"/>
      <c r="AI15" s="101"/>
      <c r="AJ15" s="22"/>
      <c r="AK15" s="58">
        <f t="shared" si="2"/>
        <v>0</v>
      </c>
      <c r="AL15" s="58">
        <f t="shared" si="3"/>
        <v>0</v>
      </c>
      <c r="AM15" s="58">
        <f t="shared" si="4"/>
        <v>0</v>
      </c>
      <c r="AN15" s="58">
        <f t="shared" si="5"/>
        <v>0</v>
      </c>
      <c r="AO15" s="58">
        <f t="shared" si="6"/>
        <v>0</v>
      </c>
      <c r="AP15" s="58">
        <f t="shared" si="7"/>
        <v>0</v>
      </c>
      <c r="AQ15" s="58">
        <f t="shared" si="8"/>
        <v>0</v>
      </c>
      <c r="AR15" s="58">
        <f t="shared" si="9"/>
        <v>0</v>
      </c>
      <c r="AS15" s="58">
        <f t="shared" si="10"/>
        <v>0</v>
      </c>
      <c r="AT15" s="58">
        <f t="shared" si="11"/>
        <v>0</v>
      </c>
      <c r="AU15" s="58">
        <f t="shared" si="12"/>
        <v>0</v>
      </c>
      <c r="AV15" s="58">
        <f t="shared" si="13"/>
        <v>0</v>
      </c>
      <c r="AW15" s="23">
        <f t="shared" si="14"/>
        <v>0</v>
      </c>
      <c r="AX15" s="23"/>
      <c r="AY15" s="78" t="str">
        <f t="shared" si="15"/>
        <v>NG</v>
      </c>
    </row>
    <row r="16" spans="1:51" ht="35.25" customHeight="1">
      <c r="A16" s="43"/>
      <c r="B16" s="90" t="s">
        <v>34</v>
      </c>
      <c r="C16" s="112" t="s">
        <v>64</v>
      </c>
      <c r="D16" s="91" t="s">
        <v>20</v>
      </c>
      <c r="E16" s="107"/>
      <c r="F16" s="70"/>
      <c r="G16" s="70"/>
      <c r="H16" s="70"/>
      <c r="I16" s="70"/>
      <c r="J16" s="70"/>
      <c r="K16" s="70"/>
      <c r="L16" s="94"/>
      <c r="M16" s="70"/>
      <c r="N16" s="94"/>
      <c r="O16" s="93"/>
      <c r="P16" s="93"/>
      <c r="Q16" s="94"/>
      <c r="R16" s="94"/>
      <c r="S16" s="93"/>
      <c r="T16" s="93"/>
      <c r="U16" s="94"/>
      <c r="V16" s="93"/>
      <c r="W16" s="93"/>
      <c r="X16" s="94"/>
      <c r="Y16" s="93"/>
      <c r="Z16" s="93"/>
      <c r="AA16" s="106"/>
      <c r="AB16" s="70"/>
      <c r="AC16" s="93"/>
      <c r="AD16" s="93"/>
      <c r="AE16" s="94"/>
      <c r="AF16" s="94"/>
      <c r="AG16" s="94"/>
      <c r="AH16" s="93"/>
      <c r="AI16" s="98"/>
      <c r="AJ16" s="22"/>
      <c r="AK16" s="58">
        <f t="shared" si="2"/>
        <v>0</v>
      </c>
      <c r="AL16" s="58">
        <f t="shared" si="3"/>
        <v>0</v>
      </c>
      <c r="AM16" s="58">
        <f t="shared" si="4"/>
        <v>0</v>
      </c>
      <c r="AN16" s="58">
        <f t="shared" si="5"/>
        <v>0</v>
      </c>
      <c r="AO16" s="58">
        <f t="shared" si="6"/>
        <v>0</v>
      </c>
      <c r="AP16" s="58">
        <f t="shared" si="7"/>
        <v>0</v>
      </c>
      <c r="AQ16" s="58">
        <f t="shared" si="8"/>
        <v>0</v>
      </c>
      <c r="AR16" s="58">
        <f t="shared" si="9"/>
        <v>0</v>
      </c>
      <c r="AS16" s="58">
        <f t="shared" si="10"/>
        <v>0</v>
      </c>
      <c r="AT16" s="58">
        <f t="shared" si="11"/>
        <v>0</v>
      </c>
      <c r="AU16" s="58">
        <f t="shared" si="12"/>
        <v>0</v>
      </c>
      <c r="AV16" s="58">
        <f t="shared" si="13"/>
        <v>0</v>
      </c>
      <c r="AW16" s="23">
        <f t="shared" si="14"/>
        <v>0</v>
      </c>
      <c r="AX16" s="23"/>
      <c r="AY16" s="78" t="str">
        <f t="shared" si="15"/>
        <v>NG</v>
      </c>
    </row>
    <row r="17" spans="1:51" ht="35.25" customHeight="1">
      <c r="A17" s="43"/>
      <c r="B17" s="90" t="s">
        <v>34</v>
      </c>
      <c r="C17" s="112" t="s">
        <v>63</v>
      </c>
      <c r="D17" s="44" t="s">
        <v>7</v>
      </c>
      <c r="E17" s="97"/>
      <c r="F17" s="70"/>
      <c r="G17" s="93"/>
      <c r="H17" s="93"/>
      <c r="I17" s="70"/>
      <c r="J17" s="95"/>
      <c r="K17" s="95"/>
      <c r="L17" s="94"/>
      <c r="M17" s="70"/>
      <c r="N17" s="93"/>
      <c r="O17" s="70"/>
      <c r="P17" s="70"/>
      <c r="Q17" s="95"/>
      <c r="R17" s="95"/>
      <c r="S17" s="106"/>
      <c r="T17" s="73"/>
      <c r="U17" s="95"/>
      <c r="V17" s="95"/>
      <c r="W17" s="93"/>
      <c r="X17" s="95"/>
      <c r="Y17" s="95"/>
      <c r="Z17" s="93"/>
      <c r="AA17" s="73"/>
      <c r="AB17" s="95"/>
      <c r="AC17" s="93"/>
      <c r="AD17" s="93"/>
      <c r="AE17" s="95"/>
      <c r="AF17" s="95"/>
      <c r="AG17" s="94"/>
      <c r="AH17" s="93"/>
      <c r="AI17" s="98"/>
      <c r="AJ17" s="22"/>
      <c r="AK17" s="58">
        <f t="shared" si="2"/>
        <v>0</v>
      </c>
      <c r="AL17" s="58">
        <f t="shared" si="3"/>
        <v>0</v>
      </c>
      <c r="AM17" s="58">
        <f t="shared" si="4"/>
        <v>0</v>
      </c>
      <c r="AN17" s="58">
        <f t="shared" si="5"/>
        <v>0</v>
      </c>
      <c r="AO17" s="58">
        <f t="shared" si="6"/>
        <v>0</v>
      </c>
      <c r="AP17" s="58">
        <f t="shared" si="7"/>
        <v>0</v>
      </c>
      <c r="AQ17" s="58">
        <f t="shared" si="8"/>
        <v>0</v>
      </c>
      <c r="AR17" s="58">
        <f t="shared" si="9"/>
        <v>0</v>
      </c>
      <c r="AS17" s="58">
        <f t="shared" si="10"/>
        <v>0</v>
      </c>
      <c r="AT17" s="58">
        <f t="shared" si="11"/>
        <v>0</v>
      </c>
      <c r="AU17" s="58">
        <f t="shared" si="12"/>
        <v>0</v>
      </c>
      <c r="AV17" s="58">
        <f t="shared" si="13"/>
        <v>0</v>
      </c>
      <c r="AW17" s="23">
        <f t="shared" si="14"/>
        <v>0</v>
      </c>
      <c r="AX17" s="23"/>
      <c r="AY17" s="78" t="str">
        <f t="shared" si="15"/>
        <v>NG</v>
      </c>
    </row>
    <row r="18" spans="1:51" ht="35.25" customHeight="1">
      <c r="A18" s="43"/>
      <c r="B18" s="90" t="s">
        <v>30</v>
      </c>
      <c r="C18" s="112" t="s">
        <v>63</v>
      </c>
      <c r="D18" s="44" t="s">
        <v>7</v>
      </c>
      <c r="E18" s="97"/>
      <c r="F18" s="73"/>
      <c r="G18" s="93"/>
      <c r="H18" s="93"/>
      <c r="I18" s="70"/>
      <c r="J18" s="95"/>
      <c r="K18" s="95"/>
      <c r="L18" s="106"/>
      <c r="M18" s="73"/>
      <c r="N18" s="93"/>
      <c r="O18" s="70"/>
      <c r="P18" s="70"/>
      <c r="Q18" s="95"/>
      <c r="R18" s="95"/>
      <c r="S18" s="106"/>
      <c r="T18" s="73"/>
      <c r="U18" s="95"/>
      <c r="V18" s="95"/>
      <c r="W18" s="70"/>
      <c r="X18" s="95"/>
      <c r="Y18" s="95"/>
      <c r="Z18" s="106"/>
      <c r="AA18" s="73"/>
      <c r="AB18" s="95"/>
      <c r="AC18" s="70"/>
      <c r="AD18" s="94"/>
      <c r="AE18" s="95"/>
      <c r="AF18" s="95"/>
      <c r="AG18" s="106"/>
      <c r="AH18" s="70"/>
      <c r="AI18" s="72"/>
      <c r="AJ18" s="22"/>
      <c r="AK18" s="58">
        <f t="shared" si="2"/>
        <v>0</v>
      </c>
      <c r="AL18" s="58">
        <f t="shared" si="3"/>
        <v>0</v>
      </c>
      <c r="AM18" s="58">
        <f t="shared" si="4"/>
        <v>0</v>
      </c>
      <c r="AN18" s="58">
        <f t="shared" si="5"/>
        <v>0</v>
      </c>
      <c r="AO18" s="58">
        <f t="shared" si="6"/>
        <v>0</v>
      </c>
      <c r="AP18" s="58">
        <f t="shared" si="7"/>
        <v>0</v>
      </c>
      <c r="AQ18" s="58">
        <f t="shared" si="8"/>
        <v>0</v>
      </c>
      <c r="AR18" s="58">
        <f t="shared" si="9"/>
        <v>0</v>
      </c>
      <c r="AS18" s="58">
        <f t="shared" si="10"/>
        <v>0</v>
      </c>
      <c r="AT18" s="58">
        <f t="shared" si="11"/>
        <v>0</v>
      </c>
      <c r="AU18" s="58">
        <f t="shared" si="12"/>
        <v>0</v>
      </c>
      <c r="AV18" s="58">
        <f t="shared" si="13"/>
        <v>0</v>
      </c>
      <c r="AW18" s="23">
        <f t="shared" si="14"/>
        <v>0</v>
      </c>
      <c r="AX18" s="23"/>
      <c r="AY18" s="78" t="str">
        <f t="shared" si="15"/>
        <v>NG</v>
      </c>
    </row>
    <row r="19" spans="1:51" ht="35.25" customHeight="1">
      <c r="A19" s="43"/>
      <c r="B19" s="90" t="s">
        <v>33</v>
      </c>
      <c r="C19" s="112" t="s">
        <v>62</v>
      </c>
      <c r="D19" s="91" t="s">
        <v>19</v>
      </c>
      <c r="E19" s="69"/>
      <c r="F19" s="70"/>
      <c r="G19" s="70"/>
      <c r="H19" s="70"/>
      <c r="I19" s="70"/>
      <c r="J19" s="93"/>
      <c r="K19" s="70"/>
      <c r="L19" s="70"/>
      <c r="M19" s="94"/>
      <c r="N19" s="93"/>
      <c r="O19" s="70"/>
      <c r="P19" s="70"/>
      <c r="Q19" s="70"/>
      <c r="R19" s="70"/>
      <c r="S19" s="70"/>
      <c r="T19" s="94"/>
      <c r="U19" s="70"/>
      <c r="V19" s="94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2"/>
      <c r="AJ19" s="22"/>
      <c r="AK19" s="58">
        <f t="shared" si="2"/>
        <v>0</v>
      </c>
      <c r="AL19" s="58">
        <f t="shared" si="3"/>
        <v>0</v>
      </c>
      <c r="AM19" s="58">
        <f t="shared" si="4"/>
        <v>0</v>
      </c>
      <c r="AN19" s="58">
        <f t="shared" si="5"/>
        <v>0</v>
      </c>
      <c r="AO19" s="58">
        <f t="shared" si="6"/>
        <v>0</v>
      </c>
      <c r="AP19" s="58">
        <f t="shared" si="7"/>
        <v>0</v>
      </c>
      <c r="AQ19" s="58">
        <f t="shared" si="8"/>
        <v>0</v>
      </c>
      <c r="AR19" s="58">
        <f t="shared" si="9"/>
        <v>0</v>
      </c>
      <c r="AS19" s="58">
        <f t="shared" si="10"/>
        <v>0</v>
      </c>
      <c r="AT19" s="58">
        <f t="shared" si="11"/>
        <v>0</v>
      </c>
      <c r="AU19" s="58">
        <f t="shared" si="12"/>
        <v>0</v>
      </c>
      <c r="AV19" s="58">
        <f t="shared" si="13"/>
        <v>0</v>
      </c>
      <c r="AW19" s="23">
        <f t="shared" si="14"/>
        <v>0</v>
      </c>
      <c r="AX19" s="23"/>
      <c r="AY19" s="78" t="str">
        <f t="shared" si="15"/>
        <v>NG</v>
      </c>
    </row>
    <row r="20" spans="1:51" ht="35.25" customHeight="1">
      <c r="A20" s="43"/>
      <c r="B20" s="90" t="s">
        <v>31</v>
      </c>
      <c r="C20" s="112" t="s">
        <v>62</v>
      </c>
      <c r="D20" s="91" t="s">
        <v>16</v>
      </c>
      <c r="E20" s="107"/>
      <c r="F20" s="70"/>
      <c r="G20" s="70"/>
      <c r="H20" s="93"/>
      <c r="I20" s="70"/>
      <c r="J20" s="94"/>
      <c r="K20" s="94"/>
      <c r="L20" s="93"/>
      <c r="M20" s="70"/>
      <c r="N20" s="94"/>
      <c r="O20" s="94"/>
      <c r="P20" s="95"/>
      <c r="Q20" s="70"/>
      <c r="R20" s="70"/>
      <c r="S20" s="70"/>
      <c r="T20" s="70"/>
      <c r="U20" s="73"/>
      <c r="V20" s="70"/>
      <c r="W20" s="70"/>
      <c r="X20" s="70"/>
      <c r="Y20" s="70"/>
      <c r="Z20" s="70"/>
      <c r="AA20" s="70"/>
      <c r="AB20" s="73"/>
      <c r="AC20" s="70"/>
      <c r="AD20" s="73"/>
      <c r="AE20" s="95"/>
      <c r="AF20" s="70"/>
      <c r="AG20" s="70"/>
      <c r="AH20" s="70"/>
      <c r="AI20" s="70"/>
      <c r="AJ20" s="22"/>
      <c r="AK20" s="58">
        <f t="shared" si="2"/>
        <v>0</v>
      </c>
      <c r="AL20" s="58">
        <f t="shared" si="3"/>
        <v>0</v>
      </c>
      <c r="AM20" s="58">
        <f t="shared" si="4"/>
        <v>0</v>
      </c>
      <c r="AN20" s="58">
        <f t="shared" si="5"/>
        <v>0</v>
      </c>
      <c r="AO20" s="58">
        <f t="shared" si="6"/>
        <v>0</v>
      </c>
      <c r="AP20" s="58">
        <f t="shared" si="7"/>
        <v>0</v>
      </c>
      <c r="AQ20" s="58">
        <f t="shared" si="8"/>
        <v>0</v>
      </c>
      <c r="AR20" s="58">
        <f t="shared" si="9"/>
        <v>0</v>
      </c>
      <c r="AS20" s="58">
        <f t="shared" si="10"/>
        <v>0</v>
      </c>
      <c r="AT20" s="58">
        <f t="shared" si="11"/>
        <v>0</v>
      </c>
      <c r="AU20" s="58">
        <f t="shared" si="12"/>
        <v>0</v>
      </c>
      <c r="AV20" s="58">
        <f t="shared" si="13"/>
        <v>0</v>
      </c>
      <c r="AW20" s="23">
        <f t="shared" si="14"/>
        <v>0</v>
      </c>
      <c r="AX20" s="23"/>
      <c r="AY20" s="78" t="str">
        <f t="shared" si="15"/>
        <v>NG</v>
      </c>
    </row>
    <row r="21" spans="1:51" ht="35.25" customHeight="1">
      <c r="A21" s="43"/>
      <c r="B21" s="90" t="s">
        <v>32</v>
      </c>
      <c r="C21" s="112" t="s">
        <v>62</v>
      </c>
      <c r="D21" s="91" t="s">
        <v>38</v>
      </c>
      <c r="E21" s="69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22"/>
      <c r="AK21" s="58">
        <f t="shared" si="2"/>
        <v>0</v>
      </c>
      <c r="AL21" s="58">
        <f t="shared" si="3"/>
        <v>0</v>
      </c>
      <c r="AM21" s="58">
        <f t="shared" si="4"/>
        <v>0</v>
      </c>
      <c r="AN21" s="58">
        <f t="shared" si="5"/>
        <v>0</v>
      </c>
      <c r="AO21" s="58">
        <f t="shared" si="6"/>
        <v>0</v>
      </c>
      <c r="AP21" s="58">
        <f t="shared" si="7"/>
        <v>0</v>
      </c>
      <c r="AQ21" s="58">
        <f t="shared" si="8"/>
        <v>0</v>
      </c>
      <c r="AR21" s="58">
        <f t="shared" si="9"/>
        <v>0</v>
      </c>
      <c r="AS21" s="58">
        <f t="shared" si="10"/>
        <v>0</v>
      </c>
      <c r="AT21" s="58">
        <f t="shared" si="11"/>
        <v>0</v>
      </c>
      <c r="AU21" s="58">
        <f t="shared" si="12"/>
        <v>0</v>
      </c>
      <c r="AV21" s="58">
        <f t="shared" si="13"/>
        <v>0</v>
      </c>
      <c r="AW21" s="23">
        <f t="shared" si="14"/>
        <v>0</v>
      </c>
      <c r="AX21" s="23"/>
      <c r="AY21" s="78" t="str">
        <f t="shared" si="15"/>
        <v>NG</v>
      </c>
    </row>
    <row r="22" spans="1:51" ht="35.25" customHeight="1" thickBot="1">
      <c r="A22" s="43"/>
      <c r="B22" s="52" t="s">
        <v>35</v>
      </c>
      <c r="C22" s="113" t="s">
        <v>64</v>
      </c>
      <c r="D22" s="45" t="s">
        <v>39</v>
      </c>
      <c r="E22" s="110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2"/>
      <c r="AJ22" s="22"/>
      <c r="AK22" s="58">
        <f t="shared" si="2"/>
        <v>0</v>
      </c>
      <c r="AL22" s="58">
        <f t="shared" si="3"/>
        <v>0</v>
      </c>
      <c r="AM22" s="58">
        <f t="shared" si="4"/>
        <v>0</v>
      </c>
      <c r="AN22" s="58">
        <f t="shared" si="5"/>
        <v>0</v>
      </c>
      <c r="AO22" s="58">
        <f t="shared" si="6"/>
        <v>0</v>
      </c>
      <c r="AP22" s="58">
        <f t="shared" si="7"/>
        <v>0</v>
      </c>
      <c r="AQ22" s="58">
        <f t="shared" si="8"/>
        <v>0</v>
      </c>
      <c r="AR22" s="58">
        <f t="shared" si="9"/>
        <v>0</v>
      </c>
      <c r="AS22" s="58">
        <f t="shared" si="10"/>
        <v>0</v>
      </c>
      <c r="AT22" s="58">
        <f t="shared" si="11"/>
        <v>0</v>
      </c>
      <c r="AU22" s="58">
        <f t="shared" si="12"/>
        <v>0</v>
      </c>
      <c r="AV22" s="58">
        <f t="shared" si="13"/>
        <v>0</v>
      </c>
      <c r="AW22" s="23">
        <f t="shared" si="14"/>
        <v>0</v>
      </c>
      <c r="AX22" s="23"/>
      <c r="AY22" s="78" t="str">
        <f t="shared" si="15"/>
        <v>NG</v>
      </c>
    </row>
    <row r="23" spans="1:51" ht="35.25" customHeight="1">
      <c r="A23" s="43"/>
      <c r="B23" s="50" t="s">
        <v>36</v>
      </c>
      <c r="C23" s="111" t="s">
        <v>62</v>
      </c>
      <c r="D23" s="47" t="s">
        <v>11</v>
      </c>
      <c r="E23" s="120"/>
      <c r="F23" s="102"/>
      <c r="G23" s="102"/>
      <c r="H23" s="102"/>
      <c r="I23" s="102"/>
      <c r="J23" s="102"/>
      <c r="K23" s="102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  <c r="AB23" s="102"/>
      <c r="AC23" s="102"/>
      <c r="AD23" s="102"/>
      <c r="AE23" s="102"/>
      <c r="AF23" s="102"/>
      <c r="AG23" s="102"/>
      <c r="AH23" s="102"/>
      <c r="AI23" s="103"/>
      <c r="AJ23" s="24"/>
      <c r="AK23" s="58">
        <f t="shared" si="2"/>
        <v>0</v>
      </c>
      <c r="AL23" s="58">
        <f t="shared" si="3"/>
        <v>0</v>
      </c>
      <c r="AM23" s="58">
        <f t="shared" si="4"/>
        <v>0</v>
      </c>
      <c r="AN23" s="58">
        <f t="shared" si="5"/>
        <v>0</v>
      </c>
      <c r="AO23" s="58">
        <f t="shared" si="6"/>
        <v>0</v>
      </c>
      <c r="AP23" s="58">
        <f t="shared" si="7"/>
        <v>0</v>
      </c>
      <c r="AQ23" s="58">
        <f t="shared" si="8"/>
        <v>0</v>
      </c>
      <c r="AR23" s="58">
        <f t="shared" si="9"/>
        <v>0</v>
      </c>
      <c r="AS23" s="58">
        <f t="shared" si="10"/>
        <v>0</v>
      </c>
      <c r="AT23" s="58">
        <f t="shared" si="11"/>
        <v>0</v>
      </c>
      <c r="AU23" s="58">
        <f t="shared" si="12"/>
        <v>0</v>
      </c>
      <c r="AV23" s="58">
        <f t="shared" si="13"/>
        <v>0</v>
      </c>
      <c r="AW23" s="23">
        <f t="shared" si="14"/>
        <v>0</v>
      </c>
      <c r="AX23" s="23"/>
      <c r="AY23" s="78" t="str">
        <f t="shared" si="15"/>
        <v>NG</v>
      </c>
    </row>
    <row r="24" spans="1:51" ht="35.25" customHeight="1">
      <c r="A24" s="5"/>
      <c r="B24" s="53" t="s">
        <v>36</v>
      </c>
      <c r="C24" s="114" t="s">
        <v>62</v>
      </c>
      <c r="D24" s="44" t="s">
        <v>12</v>
      </c>
      <c r="E24" s="104"/>
      <c r="F24" s="105"/>
      <c r="G24" s="104"/>
      <c r="H24" s="104"/>
      <c r="I24" s="104"/>
      <c r="J24" s="104"/>
      <c r="K24" s="104"/>
      <c r="L24" s="104"/>
      <c r="M24" s="105"/>
      <c r="N24" s="104"/>
      <c r="O24" s="104"/>
      <c r="P24" s="104"/>
      <c r="Q24" s="104"/>
      <c r="R24" s="104"/>
      <c r="S24" s="104"/>
      <c r="T24" s="105"/>
      <c r="U24" s="104"/>
      <c r="V24" s="104"/>
      <c r="W24" s="104"/>
      <c r="X24" s="104"/>
      <c r="Y24" s="104"/>
      <c r="Z24" s="104"/>
      <c r="AA24" s="105"/>
      <c r="AB24" s="104"/>
      <c r="AC24" s="104"/>
      <c r="AD24" s="104"/>
      <c r="AE24" s="104"/>
      <c r="AF24" s="104"/>
      <c r="AG24" s="121"/>
      <c r="AH24" s="105"/>
      <c r="AI24" s="85"/>
      <c r="AJ24" s="24"/>
      <c r="AK24" s="58">
        <f t="shared" si="2"/>
        <v>0</v>
      </c>
      <c r="AL24" s="58">
        <f t="shared" si="3"/>
        <v>0</v>
      </c>
      <c r="AM24" s="58">
        <f t="shared" si="4"/>
        <v>0</v>
      </c>
      <c r="AN24" s="58">
        <f t="shared" si="5"/>
        <v>0</v>
      </c>
      <c r="AO24" s="58">
        <f t="shared" si="6"/>
        <v>0</v>
      </c>
      <c r="AP24" s="58">
        <f t="shared" si="7"/>
        <v>0</v>
      </c>
      <c r="AQ24" s="58">
        <f t="shared" si="8"/>
        <v>0</v>
      </c>
      <c r="AR24" s="58">
        <f t="shared" si="9"/>
        <v>0</v>
      </c>
      <c r="AS24" s="58">
        <f t="shared" si="10"/>
        <v>0</v>
      </c>
      <c r="AT24" s="58">
        <f t="shared" si="11"/>
        <v>0</v>
      </c>
      <c r="AU24" s="58">
        <f t="shared" si="12"/>
        <v>0</v>
      </c>
      <c r="AV24" s="58">
        <f t="shared" si="13"/>
        <v>0</v>
      </c>
      <c r="AW24" s="23">
        <f t="shared" si="14"/>
        <v>0</v>
      </c>
      <c r="AX24" s="23"/>
      <c r="AY24" s="78" t="str">
        <f t="shared" si="15"/>
        <v>NG</v>
      </c>
    </row>
    <row r="25" spans="1:51" s="2" customFormat="1" ht="35.25" customHeight="1">
      <c r="A25" s="5"/>
      <c r="B25" s="53" t="s">
        <v>36</v>
      </c>
      <c r="C25" s="114" t="s">
        <v>62</v>
      </c>
      <c r="D25" s="46" t="s">
        <v>18</v>
      </c>
      <c r="E25" s="122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21"/>
      <c r="Q25" s="104"/>
      <c r="R25" s="104"/>
      <c r="S25" s="121"/>
      <c r="T25" s="104"/>
      <c r="U25" s="104"/>
      <c r="V25" s="104"/>
      <c r="W25" s="104"/>
      <c r="X25" s="104"/>
      <c r="Y25" s="33"/>
      <c r="Z25" s="104"/>
      <c r="AA25" s="104"/>
      <c r="AB25" s="104"/>
      <c r="AC25" s="104"/>
      <c r="AD25" s="104"/>
      <c r="AE25" s="104"/>
      <c r="AF25" s="33"/>
      <c r="AG25" s="104"/>
      <c r="AH25" s="104"/>
      <c r="AI25" s="85"/>
      <c r="AJ25" s="25"/>
      <c r="AK25" s="58">
        <f t="shared" si="2"/>
        <v>0</v>
      </c>
      <c r="AL25" s="58">
        <f t="shared" si="3"/>
        <v>0</v>
      </c>
      <c r="AM25" s="58">
        <f t="shared" si="4"/>
        <v>0</v>
      </c>
      <c r="AN25" s="58">
        <f t="shared" si="5"/>
        <v>0</v>
      </c>
      <c r="AO25" s="58">
        <f t="shared" si="6"/>
        <v>0</v>
      </c>
      <c r="AP25" s="58">
        <f t="shared" si="7"/>
        <v>0</v>
      </c>
      <c r="AQ25" s="58">
        <f t="shared" si="8"/>
        <v>0</v>
      </c>
      <c r="AR25" s="58">
        <f t="shared" si="9"/>
        <v>0</v>
      </c>
      <c r="AS25" s="58">
        <f t="shared" si="10"/>
        <v>0</v>
      </c>
      <c r="AT25" s="58">
        <f t="shared" si="11"/>
        <v>0</v>
      </c>
      <c r="AU25" s="58">
        <f t="shared" si="12"/>
        <v>0</v>
      </c>
      <c r="AV25" s="58">
        <f t="shared" si="13"/>
        <v>0</v>
      </c>
      <c r="AW25" s="23">
        <f t="shared" si="14"/>
        <v>0</v>
      </c>
      <c r="AX25" s="23"/>
      <c r="AY25" s="78" t="str">
        <f t="shared" si="15"/>
        <v>NG</v>
      </c>
    </row>
    <row r="26" spans="1:51" s="2" customFormat="1" ht="35" customHeight="1">
      <c r="A26" s="5"/>
      <c r="B26" s="53" t="s">
        <v>36</v>
      </c>
      <c r="C26" s="114" t="s">
        <v>62</v>
      </c>
      <c r="D26" s="46" t="s">
        <v>98</v>
      </c>
      <c r="E26" s="122"/>
      <c r="F26" s="104"/>
      <c r="G26" s="104"/>
      <c r="H26" s="105"/>
      <c r="I26" s="33"/>
      <c r="J26" s="104"/>
      <c r="K26" s="104"/>
      <c r="L26" s="105"/>
      <c r="M26" s="104"/>
      <c r="N26" s="104"/>
      <c r="O26" s="105"/>
      <c r="P26" s="33"/>
      <c r="Q26" s="104"/>
      <c r="R26" s="104"/>
      <c r="S26" s="105"/>
      <c r="T26" s="104"/>
      <c r="U26" s="104"/>
      <c r="V26" s="104"/>
      <c r="W26" s="33"/>
      <c r="X26" s="104"/>
      <c r="Y26" s="104"/>
      <c r="Z26" s="104"/>
      <c r="AA26" s="104"/>
      <c r="AB26" s="104"/>
      <c r="AC26" s="105"/>
      <c r="AD26" s="33"/>
      <c r="AE26" s="104"/>
      <c r="AF26" s="104"/>
      <c r="AG26" s="105"/>
      <c r="AH26" s="104"/>
      <c r="AI26" s="104"/>
      <c r="AJ26" s="25"/>
      <c r="AK26" s="58">
        <f t="shared" si="2"/>
        <v>0</v>
      </c>
      <c r="AL26" s="58">
        <f t="shared" si="3"/>
        <v>0</v>
      </c>
      <c r="AM26" s="58">
        <f t="shared" si="4"/>
        <v>0</v>
      </c>
      <c r="AN26" s="58">
        <f t="shared" si="5"/>
        <v>0</v>
      </c>
      <c r="AO26" s="58">
        <f t="shared" si="6"/>
        <v>0</v>
      </c>
      <c r="AP26" s="58">
        <f t="shared" si="7"/>
        <v>0</v>
      </c>
      <c r="AQ26" s="58">
        <f t="shared" si="8"/>
        <v>0</v>
      </c>
      <c r="AR26" s="58">
        <f t="shared" si="9"/>
        <v>0</v>
      </c>
      <c r="AS26" s="58">
        <f t="shared" si="10"/>
        <v>0</v>
      </c>
      <c r="AT26" s="58">
        <f t="shared" si="11"/>
        <v>0</v>
      </c>
      <c r="AU26" s="58">
        <f t="shared" si="12"/>
        <v>0</v>
      </c>
      <c r="AV26" s="58">
        <f t="shared" si="13"/>
        <v>0</v>
      </c>
      <c r="AW26" s="23">
        <f t="shared" si="14"/>
        <v>0</v>
      </c>
      <c r="AX26" s="23"/>
      <c r="AY26" s="78" t="str">
        <f t="shared" si="15"/>
        <v>NG</v>
      </c>
    </row>
    <row r="27" spans="1:51" s="2" customFormat="1" ht="35" customHeight="1">
      <c r="A27" s="5"/>
      <c r="B27" s="53" t="s">
        <v>36</v>
      </c>
      <c r="C27" s="112" t="s">
        <v>63</v>
      </c>
      <c r="D27" s="44" t="s">
        <v>28</v>
      </c>
      <c r="E27" s="122"/>
      <c r="F27" s="104"/>
      <c r="G27" s="104"/>
      <c r="H27" s="105"/>
      <c r="I27" s="33"/>
      <c r="J27" s="104"/>
      <c r="K27" s="104"/>
      <c r="L27" s="105"/>
      <c r="M27" s="104"/>
      <c r="N27" s="104"/>
      <c r="O27" s="105"/>
      <c r="P27" s="104"/>
      <c r="Q27" s="104"/>
      <c r="R27" s="104"/>
      <c r="S27" s="105"/>
      <c r="T27" s="104"/>
      <c r="U27" s="104"/>
      <c r="V27" s="104"/>
      <c r="W27" s="33"/>
      <c r="X27" s="104"/>
      <c r="Y27" s="104"/>
      <c r="Z27" s="104"/>
      <c r="AA27" s="104"/>
      <c r="AB27" s="104"/>
      <c r="AC27" s="105"/>
      <c r="AD27" s="33"/>
      <c r="AE27" s="104"/>
      <c r="AF27" s="104"/>
      <c r="AG27" s="105"/>
      <c r="AH27" s="104"/>
      <c r="AI27" s="119"/>
      <c r="AJ27" s="25"/>
      <c r="AK27" s="58">
        <f t="shared" si="2"/>
        <v>0</v>
      </c>
      <c r="AL27" s="58">
        <f t="shared" si="3"/>
        <v>0</v>
      </c>
      <c r="AM27" s="58">
        <f t="shared" si="4"/>
        <v>0</v>
      </c>
      <c r="AN27" s="58">
        <f t="shared" si="5"/>
        <v>0</v>
      </c>
      <c r="AO27" s="58">
        <f t="shared" si="6"/>
        <v>0</v>
      </c>
      <c r="AP27" s="58">
        <f t="shared" si="7"/>
        <v>0</v>
      </c>
      <c r="AQ27" s="58">
        <f t="shared" si="8"/>
        <v>0</v>
      </c>
      <c r="AR27" s="58">
        <f t="shared" si="9"/>
        <v>0</v>
      </c>
      <c r="AS27" s="58">
        <f t="shared" si="10"/>
        <v>0</v>
      </c>
      <c r="AT27" s="58">
        <f t="shared" si="11"/>
        <v>0</v>
      </c>
      <c r="AU27" s="58">
        <f t="shared" si="12"/>
        <v>0</v>
      </c>
      <c r="AV27" s="58">
        <f t="shared" si="13"/>
        <v>0</v>
      </c>
      <c r="AW27" s="23">
        <f t="shared" si="14"/>
        <v>0</v>
      </c>
      <c r="AX27" s="23"/>
      <c r="AY27" s="78" t="str">
        <f t="shared" si="15"/>
        <v>NG</v>
      </c>
    </row>
    <row r="28" spans="1:51" s="2" customFormat="1" ht="35" customHeight="1">
      <c r="A28" s="5"/>
      <c r="B28" s="53" t="s">
        <v>36</v>
      </c>
      <c r="C28" s="112" t="s">
        <v>65</v>
      </c>
      <c r="D28" s="44" t="s">
        <v>9</v>
      </c>
      <c r="E28" s="122"/>
      <c r="F28" s="104"/>
      <c r="G28" s="104"/>
      <c r="H28" s="105"/>
      <c r="I28" s="33"/>
      <c r="J28" s="104"/>
      <c r="K28" s="104"/>
      <c r="L28" s="105"/>
      <c r="M28" s="104"/>
      <c r="N28" s="104"/>
      <c r="O28" s="105"/>
      <c r="P28" s="33"/>
      <c r="Q28" s="104"/>
      <c r="R28" s="104"/>
      <c r="S28" s="104"/>
      <c r="T28" s="104"/>
      <c r="U28" s="104"/>
      <c r="V28" s="104"/>
      <c r="W28" s="33"/>
      <c r="X28" s="104"/>
      <c r="Y28" s="104"/>
      <c r="Z28" s="104"/>
      <c r="AA28" s="104"/>
      <c r="AB28" s="104"/>
      <c r="AC28" s="105"/>
      <c r="AD28" s="33"/>
      <c r="AE28" s="104"/>
      <c r="AF28" s="104"/>
      <c r="AG28" s="105"/>
      <c r="AH28" s="104"/>
      <c r="AI28" s="119"/>
      <c r="AJ28" s="25"/>
      <c r="AK28" s="58">
        <f t="shared" si="2"/>
        <v>0</v>
      </c>
      <c r="AL28" s="58">
        <f t="shared" si="3"/>
        <v>0</v>
      </c>
      <c r="AM28" s="58">
        <f t="shared" si="4"/>
        <v>0</v>
      </c>
      <c r="AN28" s="58">
        <f t="shared" si="5"/>
        <v>0</v>
      </c>
      <c r="AO28" s="58">
        <f t="shared" si="6"/>
        <v>0</v>
      </c>
      <c r="AP28" s="58">
        <f t="shared" si="7"/>
        <v>0</v>
      </c>
      <c r="AQ28" s="58">
        <f t="shared" si="8"/>
        <v>0</v>
      </c>
      <c r="AR28" s="58">
        <f t="shared" si="9"/>
        <v>0</v>
      </c>
      <c r="AS28" s="58">
        <f t="shared" si="10"/>
        <v>0</v>
      </c>
      <c r="AT28" s="58">
        <f t="shared" si="11"/>
        <v>0</v>
      </c>
      <c r="AU28" s="58">
        <f t="shared" si="12"/>
        <v>0</v>
      </c>
      <c r="AV28" s="58">
        <f t="shared" si="13"/>
        <v>0</v>
      </c>
      <c r="AW28" s="23">
        <f t="shared" si="14"/>
        <v>0</v>
      </c>
      <c r="AX28" s="23"/>
      <c r="AY28" s="78" t="str">
        <f t="shared" si="15"/>
        <v>NG</v>
      </c>
    </row>
    <row r="29" spans="1:51" s="2" customFormat="1" ht="35" customHeight="1">
      <c r="A29" s="5"/>
      <c r="B29" s="53" t="s">
        <v>36</v>
      </c>
      <c r="C29" s="114" t="s">
        <v>62</v>
      </c>
      <c r="D29" s="46" t="s">
        <v>49</v>
      </c>
      <c r="E29" s="32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84"/>
      <c r="S29" s="84"/>
      <c r="T29" s="84"/>
      <c r="U29" s="84"/>
      <c r="V29" s="84"/>
      <c r="W29" s="84"/>
      <c r="X29" s="84"/>
      <c r="Y29" s="89"/>
      <c r="Z29" s="84"/>
      <c r="AA29" s="84"/>
      <c r="AB29" s="84"/>
      <c r="AC29" s="84"/>
      <c r="AD29" s="84"/>
      <c r="AE29" s="84"/>
      <c r="AF29" s="84"/>
      <c r="AG29" s="84"/>
      <c r="AH29" s="84"/>
      <c r="AI29" s="75"/>
      <c r="AJ29" s="25"/>
      <c r="AK29" s="58">
        <f t="shared" si="2"/>
        <v>0</v>
      </c>
      <c r="AL29" s="58">
        <f t="shared" si="3"/>
        <v>0</v>
      </c>
      <c r="AM29" s="58">
        <f t="shared" si="4"/>
        <v>0</v>
      </c>
      <c r="AN29" s="58">
        <f t="shared" si="5"/>
        <v>0</v>
      </c>
      <c r="AO29" s="58">
        <f t="shared" si="6"/>
        <v>0</v>
      </c>
      <c r="AP29" s="58">
        <f t="shared" si="7"/>
        <v>0</v>
      </c>
      <c r="AQ29" s="58">
        <f t="shared" si="8"/>
        <v>0</v>
      </c>
      <c r="AR29" s="58">
        <f t="shared" si="9"/>
        <v>0</v>
      </c>
      <c r="AS29" s="58">
        <f t="shared" si="10"/>
        <v>0</v>
      </c>
      <c r="AT29" s="58">
        <f t="shared" si="11"/>
        <v>0</v>
      </c>
      <c r="AU29" s="58">
        <f t="shared" si="12"/>
        <v>0</v>
      </c>
      <c r="AV29" s="58">
        <f t="shared" si="13"/>
        <v>0</v>
      </c>
      <c r="AW29" s="23">
        <f t="shared" si="14"/>
        <v>0</v>
      </c>
      <c r="AX29" s="23"/>
      <c r="AY29" s="78" t="str">
        <f t="shared" si="15"/>
        <v>NG</v>
      </c>
    </row>
    <row r="30" spans="1:51" ht="35" customHeight="1" thickBot="1">
      <c r="A30" s="5"/>
      <c r="B30" s="51" t="s">
        <v>36</v>
      </c>
      <c r="C30" s="115" t="s">
        <v>62</v>
      </c>
      <c r="D30" s="48" t="s">
        <v>21</v>
      </c>
      <c r="E30" s="34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88"/>
      <c r="U30" s="35"/>
      <c r="V30" s="35"/>
      <c r="W30" s="35"/>
      <c r="X30" s="35"/>
      <c r="Y30" s="88"/>
      <c r="Z30" s="35"/>
      <c r="AA30" s="35"/>
      <c r="AB30" s="35"/>
      <c r="AC30" s="35"/>
      <c r="AD30" s="35"/>
      <c r="AE30" s="35"/>
      <c r="AF30" s="35"/>
      <c r="AG30" s="35"/>
      <c r="AH30" s="35"/>
      <c r="AI30" s="76"/>
      <c r="AJ30" s="15"/>
      <c r="AK30" s="58">
        <f t="shared" si="2"/>
        <v>0</v>
      </c>
      <c r="AL30" s="58">
        <f t="shared" si="3"/>
        <v>0</v>
      </c>
      <c r="AM30" s="58">
        <f t="shared" si="4"/>
        <v>0</v>
      </c>
      <c r="AN30" s="58">
        <f t="shared" si="5"/>
        <v>0</v>
      </c>
      <c r="AO30" s="58">
        <f t="shared" si="6"/>
        <v>0</v>
      </c>
      <c r="AP30" s="58">
        <f t="shared" si="7"/>
        <v>0</v>
      </c>
      <c r="AQ30" s="58">
        <f t="shared" si="8"/>
        <v>0</v>
      </c>
      <c r="AR30" s="58">
        <f t="shared" si="9"/>
        <v>0</v>
      </c>
      <c r="AS30" s="58">
        <f t="shared" si="10"/>
        <v>0</v>
      </c>
      <c r="AT30" s="58">
        <f t="shared" si="11"/>
        <v>0</v>
      </c>
      <c r="AU30" s="58">
        <f t="shared" si="12"/>
        <v>0</v>
      </c>
      <c r="AV30" s="58">
        <f t="shared" si="13"/>
        <v>0</v>
      </c>
      <c r="AW30" s="23">
        <f t="shared" si="14"/>
        <v>0</v>
      </c>
      <c r="AX30" s="23"/>
      <c r="AY30" s="78" t="str">
        <f t="shared" si="15"/>
        <v>NG</v>
      </c>
    </row>
    <row r="31" spans="1:51" ht="34.5" customHeight="1" thickBot="1">
      <c r="A31" s="5"/>
      <c r="B31" s="55"/>
      <c r="C31" s="55"/>
      <c r="D31" s="27"/>
      <c r="E31" s="56"/>
      <c r="F31" s="26"/>
      <c r="G31" s="26"/>
      <c r="H31" s="57"/>
      <c r="I31" s="26"/>
      <c r="J31" s="57"/>
      <c r="K31" s="27"/>
      <c r="L31" s="27"/>
      <c r="M31" s="56"/>
      <c r="N31" s="26"/>
      <c r="O31" s="26"/>
      <c r="P31" s="26"/>
      <c r="Q31" s="26"/>
      <c r="R31" s="57"/>
      <c r="S31" s="27"/>
      <c r="T31" s="56"/>
      <c r="U31" s="27"/>
      <c r="V31" s="27"/>
      <c r="W31" s="27"/>
      <c r="X31" s="27"/>
      <c r="Y31" s="26"/>
      <c r="Z31" s="26"/>
      <c r="AA31" s="26"/>
      <c r="AB31" s="26"/>
      <c r="AC31" s="56"/>
      <c r="AD31" s="26"/>
      <c r="AE31" s="26"/>
      <c r="AF31" s="26"/>
      <c r="AG31" s="26"/>
      <c r="AH31" s="55"/>
      <c r="AI31" s="55"/>
      <c r="AJ31" s="5"/>
      <c r="AK31" s="54"/>
      <c r="AL31" s="59"/>
      <c r="AM31" s="59"/>
      <c r="AN31" s="59"/>
      <c r="AO31" s="54"/>
      <c r="AP31" s="60"/>
      <c r="AQ31" s="54"/>
      <c r="AR31" s="54"/>
      <c r="AS31" s="54"/>
      <c r="AT31" s="54"/>
      <c r="AU31" s="54"/>
      <c r="AV31" s="54"/>
      <c r="AW31" s="54"/>
      <c r="AX31" s="54"/>
      <c r="AY31" s="5"/>
    </row>
    <row r="32" spans="1:51" ht="34.5" customHeight="1">
      <c r="A32" s="5"/>
      <c r="B32" s="418" t="s">
        <v>52</v>
      </c>
      <c r="C32" s="421" t="s">
        <v>69</v>
      </c>
      <c r="D32" s="422"/>
      <c r="E32" s="62">
        <f>COUNTIF(E$7:E$17,"A")</f>
        <v>0</v>
      </c>
      <c r="F32" s="62">
        <f t="shared" ref="F32:AI32" si="16">COUNTIF(F$7:F$17,"A")</f>
        <v>0</v>
      </c>
      <c r="G32" s="62">
        <f t="shared" si="16"/>
        <v>0</v>
      </c>
      <c r="H32" s="62">
        <f t="shared" si="16"/>
        <v>0</v>
      </c>
      <c r="I32" s="62">
        <f t="shared" si="16"/>
        <v>0</v>
      </c>
      <c r="J32" s="62">
        <f t="shared" si="16"/>
        <v>0</v>
      </c>
      <c r="K32" s="62">
        <f t="shared" si="16"/>
        <v>0</v>
      </c>
      <c r="L32" s="62">
        <f t="shared" si="16"/>
        <v>0</v>
      </c>
      <c r="M32" s="62">
        <f t="shared" si="16"/>
        <v>0</v>
      </c>
      <c r="N32" s="62">
        <f t="shared" si="16"/>
        <v>0</v>
      </c>
      <c r="O32" s="62">
        <f t="shared" si="16"/>
        <v>0</v>
      </c>
      <c r="P32" s="62">
        <f t="shared" si="16"/>
        <v>0</v>
      </c>
      <c r="Q32" s="62">
        <f t="shared" si="16"/>
        <v>0</v>
      </c>
      <c r="R32" s="62">
        <f t="shared" si="16"/>
        <v>0</v>
      </c>
      <c r="S32" s="62">
        <f t="shared" si="16"/>
        <v>0</v>
      </c>
      <c r="T32" s="62">
        <f t="shared" si="16"/>
        <v>0</v>
      </c>
      <c r="U32" s="62">
        <f t="shared" si="16"/>
        <v>0</v>
      </c>
      <c r="V32" s="62">
        <f t="shared" si="16"/>
        <v>0</v>
      </c>
      <c r="W32" s="62">
        <f t="shared" si="16"/>
        <v>0</v>
      </c>
      <c r="X32" s="62">
        <f t="shared" si="16"/>
        <v>0</v>
      </c>
      <c r="Y32" s="62">
        <f t="shared" si="16"/>
        <v>0</v>
      </c>
      <c r="Z32" s="62">
        <f t="shared" si="16"/>
        <v>0</v>
      </c>
      <c r="AA32" s="62">
        <f t="shared" si="16"/>
        <v>0</v>
      </c>
      <c r="AB32" s="62">
        <f t="shared" si="16"/>
        <v>0</v>
      </c>
      <c r="AC32" s="62">
        <f t="shared" si="16"/>
        <v>0</v>
      </c>
      <c r="AD32" s="62">
        <f t="shared" si="16"/>
        <v>0</v>
      </c>
      <c r="AE32" s="62">
        <f t="shared" si="16"/>
        <v>0</v>
      </c>
      <c r="AF32" s="62">
        <f t="shared" si="16"/>
        <v>0</v>
      </c>
      <c r="AG32" s="62">
        <f t="shared" si="16"/>
        <v>0</v>
      </c>
      <c r="AH32" s="62">
        <f t="shared" si="16"/>
        <v>0</v>
      </c>
      <c r="AI32" s="62">
        <f t="shared" si="16"/>
        <v>0</v>
      </c>
      <c r="AJ32" s="61"/>
      <c r="AK32" s="54"/>
      <c r="AL32" s="59"/>
      <c r="AM32" s="59"/>
      <c r="AN32" s="59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"/>
    </row>
    <row r="33" spans="1:51" ht="34.5" customHeight="1">
      <c r="A33" s="5"/>
      <c r="B33" s="419"/>
      <c r="C33" s="423" t="s">
        <v>37</v>
      </c>
      <c r="D33" s="424"/>
      <c r="E33" s="62">
        <f>COUNTIF(E$7:E$17,"B")</f>
        <v>0</v>
      </c>
      <c r="F33" s="62">
        <f t="shared" ref="F33:AI33" si="17">COUNTIF(F$7:F$17,"B")</f>
        <v>0</v>
      </c>
      <c r="G33" s="62">
        <f t="shared" si="17"/>
        <v>0</v>
      </c>
      <c r="H33" s="62">
        <f t="shared" si="17"/>
        <v>0</v>
      </c>
      <c r="I33" s="62">
        <f t="shared" si="17"/>
        <v>0</v>
      </c>
      <c r="J33" s="62">
        <f t="shared" si="17"/>
        <v>0</v>
      </c>
      <c r="K33" s="62">
        <f t="shared" si="17"/>
        <v>0</v>
      </c>
      <c r="L33" s="62">
        <f t="shared" si="17"/>
        <v>0</v>
      </c>
      <c r="M33" s="62">
        <f t="shared" si="17"/>
        <v>0</v>
      </c>
      <c r="N33" s="62">
        <f t="shared" si="17"/>
        <v>0</v>
      </c>
      <c r="O33" s="62">
        <f t="shared" si="17"/>
        <v>0</v>
      </c>
      <c r="P33" s="62">
        <f t="shared" si="17"/>
        <v>0</v>
      </c>
      <c r="Q33" s="62">
        <f t="shared" si="17"/>
        <v>0</v>
      </c>
      <c r="R33" s="62">
        <f t="shared" si="17"/>
        <v>0</v>
      </c>
      <c r="S33" s="62">
        <f t="shared" si="17"/>
        <v>0</v>
      </c>
      <c r="T33" s="62">
        <f t="shared" si="17"/>
        <v>0</v>
      </c>
      <c r="U33" s="62">
        <f t="shared" si="17"/>
        <v>0</v>
      </c>
      <c r="V33" s="62">
        <f t="shared" si="17"/>
        <v>0</v>
      </c>
      <c r="W33" s="62">
        <f t="shared" si="17"/>
        <v>0</v>
      </c>
      <c r="X33" s="62">
        <f t="shared" si="17"/>
        <v>0</v>
      </c>
      <c r="Y33" s="62">
        <f t="shared" si="17"/>
        <v>0</v>
      </c>
      <c r="Z33" s="62">
        <f t="shared" si="17"/>
        <v>0</v>
      </c>
      <c r="AA33" s="62">
        <f t="shared" si="17"/>
        <v>0</v>
      </c>
      <c r="AB33" s="62">
        <f t="shared" si="17"/>
        <v>0</v>
      </c>
      <c r="AC33" s="62">
        <f t="shared" si="17"/>
        <v>0</v>
      </c>
      <c r="AD33" s="62">
        <f t="shared" si="17"/>
        <v>0</v>
      </c>
      <c r="AE33" s="62">
        <f t="shared" si="17"/>
        <v>0</v>
      </c>
      <c r="AF33" s="62">
        <f t="shared" si="17"/>
        <v>0</v>
      </c>
      <c r="AG33" s="62">
        <f t="shared" si="17"/>
        <v>0</v>
      </c>
      <c r="AH33" s="62">
        <f t="shared" si="17"/>
        <v>0</v>
      </c>
      <c r="AI33" s="62">
        <f t="shared" si="17"/>
        <v>0</v>
      </c>
      <c r="AJ33" s="61"/>
      <c r="AK33" s="54"/>
      <c r="AL33" s="59"/>
      <c r="AM33" s="59"/>
      <c r="AN33" s="59"/>
      <c r="AO33" s="54"/>
      <c r="AP33" s="60"/>
      <c r="AQ33" s="54"/>
      <c r="AR33" s="54"/>
      <c r="AS33" s="54"/>
      <c r="AT33" s="54"/>
      <c r="AU33" s="54"/>
      <c r="AV33" s="54"/>
      <c r="AW33" s="54"/>
      <c r="AX33" s="54"/>
      <c r="AY33" s="5"/>
    </row>
    <row r="34" spans="1:51" ht="34.5" customHeight="1">
      <c r="A34" s="5"/>
      <c r="B34" s="419"/>
      <c r="C34" s="423" t="s">
        <v>75</v>
      </c>
      <c r="D34" s="424"/>
      <c r="E34" s="62">
        <f>COUNTIF(E$7:E$17,"C")</f>
        <v>0</v>
      </c>
      <c r="F34" s="62">
        <f t="shared" ref="F34:AI34" si="18">COUNTIF(F$7:F$17,"C")</f>
        <v>0</v>
      </c>
      <c r="G34" s="62">
        <f t="shared" si="18"/>
        <v>0</v>
      </c>
      <c r="H34" s="62">
        <f t="shared" si="18"/>
        <v>0</v>
      </c>
      <c r="I34" s="62">
        <f t="shared" si="18"/>
        <v>0</v>
      </c>
      <c r="J34" s="62">
        <f t="shared" si="18"/>
        <v>0</v>
      </c>
      <c r="K34" s="62">
        <f t="shared" si="18"/>
        <v>0</v>
      </c>
      <c r="L34" s="62">
        <f t="shared" si="18"/>
        <v>0</v>
      </c>
      <c r="M34" s="62">
        <f t="shared" si="18"/>
        <v>0</v>
      </c>
      <c r="N34" s="62">
        <f t="shared" si="18"/>
        <v>0</v>
      </c>
      <c r="O34" s="62">
        <f t="shared" si="18"/>
        <v>0</v>
      </c>
      <c r="P34" s="62">
        <f t="shared" si="18"/>
        <v>0</v>
      </c>
      <c r="Q34" s="62">
        <f t="shared" si="18"/>
        <v>0</v>
      </c>
      <c r="R34" s="62">
        <f t="shared" si="18"/>
        <v>0</v>
      </c>
      <c r="S34" s="62">
        <f t="shared" si="18"/>
        <v>0</v>
      </c>
      <c r="T34" s="62">
        <f t="shared" si="18"/>
        <v>0</v>
      </c>
      <c r="U34" s="62">
        <f t="shared" si="18"/>
        <v>0</v>
      </c>
      <c r="V34" s="62">
        <f t="shared" si="18"/>
        <v>0</v>
      </c>
      <c r="W34" s="62">
        <f t="shared" si="18"/>
        <v>0</v>
      </c>
      <c r="X34" s="62">
        <f t="shared" si="18"/>
        <v>0</v>
      </c>
      <c r="Y34" s="62">
        <f t="shared" si="18"/>
        <v>0</v>
      </c>
      <c r="Z34" s="62">
        <f t="shared" si="18"/>
        <v>0</v>
      </c>
      <c r="AA34" s="62">
        <f t="shared" si="18"/>
        <v>0</v>
      </c>
      <c r="AB34" s="62">
        <f t="shared" si="18"/>
        <v>0</v>
      </c>
      <c r="AC34" s="62">
        <f t="shared" si="18"/>
        <v>0</v>
      </c>
      <c r="AD34" s="62">
        <f t="shared" si="18"/>
        <v>0</v>
      </c>
      <c r="AE34" s="62">
        <f t="shared" si="18"/>
        <v>0</v>
      </c>
      <c r="AF34" s="62">
        <f t="shared" si="18"/>
        <v>0</v>
      </c>
      <c r="AG34" s="62">
        <f t="shared" si="18"/>
        <v>0</v>
      </c>
      <c r="AH34" s="62">
        <f t="shared" si="18"/>
        <v>0</v>
      </c>
      <c r="AI34" s="62">
        <f t="shared" si="18"/>
        <v>0</v>
      </c>
      <c r="AJ34" s="61"/>
      <c r="AK34" s="54"/>
      <c r="AL34" s="59"/>
      <c r="AM34" s="59"/>
      <c r="AN34" s="59"/>
      <c r="AO34" s="54"/>
      <c r="AP34" s="60"/>
      <c r="AQ34" s="54"/>
      <c r="AR34" s="54"/>
      <c r="AS34" s="54"/>
      <c r="AT34" s="54"/>
      <c r="AU34" s="54"/>
      <c r="AV34" s="54"/>
      <c r="AW34" s="54"/>
      <c r="AX34" s="54"/>
      <c r="AY34" s="5"/>
    </row>
    <row r="35" spans="1:51" ht="34.5" customHeight="1">
      <c r="A35" s="5"/>
      <c r="B35" s="419"/>
      <c r="C35" s="423" t="s">
        <v>70</v>
      </c>
      <c r="D35" s="424"/>
      <c r="E35" s="62">
        <f>COUNTIF(E$7:E$17,"D")</f>
        <v>0</v>
      </c>
      <c r="F35" s="62">
        <f t="shared" ref="F35:AI35" si="19">COUNTIF(F$7:F$17,"D")</f>
        <v>0</v>
      </c>
      <c r="G35" s="62">
        <f t="shared" si="19"/>
        <v>0</v>
      </c>
      <c r="H35" s="62">
        <f t="shared" si="19"/>
        <v>0</v>
      </c>
      <c r="I35" s="62">
        <f t="shared" si="19"/>
        <v>0</v>
      </c>
      <c r="J35" s="62">
        <f t="shared" si="19"/>
        <v>0</v>
      </c>
      <c r="K35" s="62">
        <f t="shared" si="19"/>
        <v>0</v>
      </c>
      <c r="L35" s="62">
        <f t="shared" si="19"/>
        <v>0</v>
      </c>
      <c r="M35" s="62">
        <f t="shared" si="19"/>
        <v>0</v>
      </c>
      <c r="N35" s="62">
        <f t="shared" si="19"/>
        <v>0</v>
      </c>
      <c r="O35" s="62">
        <f t="shared" si="19"/>
        <v>0</v>
      </c>
      <c r="P35" s="62">
        <f t="shared" si="19"/>
        <v>0</v>
      </c>
      <c r="Q35" s="62">
        <f t="shared" si="19"/>
        <v>0</v>
      </c>
      <c r="R35" s="62">
        <f t="shared" si="19"/>
        <v>0</v>
      </c>
      <c r="S35" s="62">
        <f t="shared" si="19"/>
        <v>0</v>
      </c>
      <c r="T35" s="62">
        <f t="shared" si="19"/>
        <v>0</v>
      </c>
      <c r="U35" s="62">
        <f t="shared" si="19"/>
        <v>0</v>
      </c>
      <c r="V35" s="62">
        <f t="shared" si="19"/>
        <v>0</v>
      </c>
      <c r="W35" s="62">
        <f t="shared" si="19"/>
        <v>0</v>
      </c>
      <c r="X35" s="62">
        <f t="shared" si="19"/>
        <v>0</v>
      </c>
      <c r="Y35" s="62">
        <f t="shared" si="19"/>
        <v>0</v>
      </c>
      <c r="Z35" s="62">
        <f t="shared" si="19"/>
        <v>0</v>
      </c>
      <c r="AA35" s="62">
        <f t="shared" si="19"/>
        <v>0</v>
      </c>
      <c r="AB35" s="62">
        <f t="shared" si="19"/>
        <v>0</v>
      </c>
      <c r="AC35" s="62">
        <f t="shared" si="19"/>
        <v>0</v>
      </c>
      <c r="AD35" s="62">
        <f t="shared" si="19"/>
        <v>0</v>
      </c>
      <c r="AE35" s="62">
        <f t="shared" si="19"/>
        <v>0</v>
      </c>
      <c r="AF35" s="62">
        <f t="shared" si="19"/>
        <v>0</v>
      </c>
      <c r="AG35" s="62">
        <f t="shared" si="19"/>
        <v>0</v>
      </c>
      <c r="AH35" s="62">
        <f t="shared" si="19"/>
        <v>0</v>
      </c>
      <c r="AI35" s="62">
        <f t="shared" si="19"/>
        <v>0</v>
      </c>
      <c r="AJ35" s="61"/>
      <c r="AK35" s="54"/>
      <c r="AL35" s="59"/>
      <c r="AM35" s="59"/>
      <c r="AN35" s="59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"/>
    </row>
    <row r="36" spans="1:51" ht="34.5" customHeight="1">
      <c r="A36" s="5"/>
      <c r="B36" s="419"/>
      <c r="C36" s="423" t="s">
        <v>71</v>
      </c>
      <c r="D36" s="425"/>
      <c r="E36" s="62">
        <f>COUNTIF(E$7:E$17,"夜")</f>
        <v>0</v>
      </c>
      <c r="F36" s="62">
        <f t="shared" ref="F36:AI36" si="20">COUNTIF(F$7:F$17,"夜")</f>
        <v>0</v>
      </c>
      <c r="G36" s="62">
        <f t="shared" si="20"/>
        <v>0</v>
      </c>
      <c r="H36" s="62">
        <f t="shared" si="20"/>
        <v>0</v>
      </c>
      <c r="I36" s="62">
        <f t="shared" si="20"/>
        <v>0</v>
      </c>
      <c r="J36" s="62">
        <f t="shared" si="20"/>
        <v>0</v>
      </c>
      <c r="K36" s="62">
        <f t="shared" si="20"/>
        <v>0</v>
      </c>
      <c r="L36" s="62">
        <f t="shared" si="20"/>
        <v>0</v>
      </c>
      <c r="M36" s="62">
        <f t="shared" si="20"/>
        <v>0</v>
      </c>
      <c r="N36" s="62">
        <f t="shared" si="20"/>
        <v>0</v>
      </c>
      <c r="O36" s="62">
        <f t="shared" si="20"/>
        <v>0</v>
      </c>
      <c r="P36" s="62">
        <f t="shared" si="20"/>
        <v>0</v>
      </c>
      <c r="Q36" s="62">
        <f t="shared" si="20"/>
        <v>0</v>
      </c>
      <c r="R36" s="62">
        <f t="shared" si="20"/>
        <v>0</v>
      </c>
      <c r="S36" s="62">
        <f t="shared" si="20"/>
        <v>0</v>
      </c>
      <c r="T36" s="62">
        <f t="shared" si="20"/>
        <v>0</v>
      </c>
      <c r="U36" s="62">
        <f t="shared" si="20"/>
        <v>0</v>
      </c>
      <c r="V36" s="62">
        <f t="shared" si="20"/>
        <v>0</v>
      </c>
      <c r="W36" s="62">
        <f t="shared" si="20"/>
        <v>0</v>
      </c>
      <c r="X36" s="62">
        <f t="shared" si="20"/>
        <v>0</v>
      </c>
      <c r="Y36" s="62">
        <f t="shared" si="20"/>
        <v>0</v>
      </c>
      <c r="Z36" s="62">
        <f t="shared" si="20"/>
        <v>0</v>
      </c>
      <c r="AA36" s="62">
        <f t="shared" si="20"/>
        <v>0</v>
      </c>
      <c r="AB36" s="62">
        <f t="shared" si="20"/>
        <v>0</v>
      </c>
      <c r="AC36" s="62">
        <f t="shared" si="20"/>
        <v>0</v>
      </c>
      <c r="AD36" s="62">
        <f t="shared" si="20"/>
        <v>0</v>
      </c>
      <c r="AE36" s="62">
        <f t="shared" si="20"/>
        <v>0</v>
      </c>
      <c r="AF36" s="62">
        <f t="shared" si="20"/>
        <v>0</v>
      </c>
      <c r="AG36" s="62">
        <f t="shared" si="20"/>
        <v>0</v>
      </c>
      <c r="AH36" s="62">
        <f t="shared" si="20"/>
        <v>0</v>
      </c>
      <c r="AI36" s="62">
        <f t="shared" si="20"/>
        <v>0</v>
      </c>
      <c r="AJ36" s="61"/>
      <c r="AK36" s="5"/>
      <c r="AL36" s="59"/>
      <c r="AM36" s="59"/>
      <c r="AN36" s="59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</row>
    <row r="37" spans="1:51" ht="34.5" customHeight="1">
      <c r="A37" s="5"/>
      <c r="B37" s="419"/>
      <c r="C37" s="423" t="s">
        <v>72</v>
      </c>
      <c r="D37" s="425"/>
      <c r="E37" s="62">
        <f>COUNTIF(E$7:E$17,"明")</f>
        <v>0</v>
      </c>
      <c r="F37" s="62">
        <f t="shared" ref="F37:AI37" si="21">COUNTIF(F$7:F$17,"明")</f>
        <v>0</v>
      </c>
      <c r="G37" s="62">
        <f t="shared" si="21"/>
        <v>0</v>
      </c>
      <c r="H37" s="62">
        <f t="shared" si="21"/>
        <v>0</v>
      </c>
      <c r="I37" s="62">
        <f t="shared" si="21"/>
        <v>0</v>
      </c>
      <c r="J37" s="62">
        <f t="shared" si="21"/>
        <v>0</v>
      </c>
      <c r="K37" s="62">
        <f t="shared" si="21"/>
        <v>0</v>
      </c>
      <c r="L37" s="62">
        <f t="shared" si="21"/>
        <v>0</v>
      </c>
      <c r="M37" s="62">
        <f t="shared" si="21"/>
        <v>0</v>
      </c>
      <c r="N37" s="62">
        <f t="shared" si="21"/>
        <v>0</v>
      </c>
      <c r="O37" s="62">
        <f t="shared" si="21"/>
        <v>0</v>
      </c>
      <c r="P37" s="62">
        <f t="shared" si="21"/>
        <v>0</v>
      </c>
      <c r="Q37" s="62">
        <f t="shared" si="21"/>
        <v>0</v>
      </c>
      <c r="R37" s="62">
        <f t="shared" si="21"/>
        <v>0</v>
      </c>
      <c r="S37" s="62">
        <f t="shared" si="21"/>
        <v>0</v>
      </c>
      <c r="T37" s="62">
        <f t="shared" si="21"/>
        <v>0</v>
      </c>
      <c r="U37" s="62">
        <f t="shared" si="21"/>
        <v>0</v>
      </c>
      <c r="V37" s="62">
        <f t="shared" si="21"/>
        <v>0</v>
      </c>
      <c r="W37" s="62">
        <f t="shared" si="21"/>
        <v>0</v>
      </c>
      <c r="X37" s="62">
        <f t="shared" si="21"/>
        <v>0</v>
      </c>
      <c r="Y37" s="62">
        <f t="shared" si="21"/>
        <v>0</v>
      </c>
      <c r="Z37" s="62">
        <f t="shared" si="21"/>
        <v>0</v>
      </c>
      <c r="AA37" s="62">
        <f t="shared" si="21"/>
        <v>0</v>
      </c>
      <c r="AB37" s="62">
        <f t="shared" si="21"/>
        <v>0</v>
      </c>
      <c r="AC37" s="62">
        <f t="shared" si="21"/>
        <v>0</v>
      </c>
      <c r="AD37" s="62">
        <f t="shared" si="21"/>
        <v>0</v>
      </c>
      <c r="AE37" s="62">
        <f t="shared" si="21"/>
        <v>0</v>
      </c>
      <c r="AF37" s="62">
        <f t="shared" si="21"/>
        <v>0</v>
      </c>
      <c r="AG37" s="62">
        <f t="shared" si="21"/>
        <v>0</v>
      </c>
      <c r="AH37" s="62">
        <f t="shared" si="21"/>
        <v>0</v>
      </c>
      <c r="AI37" s="62">
        <f t="shared" si="21"/>
        <v>0</v>
      </c>
      <c r="AJ37" s="61"/>
      <c r="AK37" s="5"/>
      <c r="AL37" s="59"/>
      <c r="AM37" s="59"/>
      <c r="AN37" s="59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</row>
    <row r="38" spans="1:51" ht="34.5" customHeight="1">
      <c r="A38" s="5"/>
      <c r="B38" s="419"/>
      <c r="C38" s="426" t="s">
        <v>47</v>
      </c>
      <c r="D38" s="427"/>
      <c r="E38" s="62">
        <f>SUM(E32:E37)</f>
        <v>0</v>
      </c>
      <c r="F38" s="62">
        <f t="shared" ref="F38:AI38" si="22">SUM(F32:F37)</f>
        <v>0</v>
      </c>
      <c r="G38" s="62">
        <f t="shared" si="22"/>
        <v>0</v>
      </c>
      <c r="H38" s="62">
        <f t="shared" si="22"/>
        <v>0</v>
      </c>
      <c r="I38" s="62">
        <f t="shared" si="22"/>
        <v>0</v>
      </c>
      <c r="J38" s="62">
        <f t="shared" si="22"/>
        <v>0</v>
      </c>
      <c r="K38" s="62">
        <f t="shared" si="22"/>
        <v>0</v>
      </c>
      <c r="L38" s="62">
        <f t="shared" si="22"/>
        <v>0</v>
      </c>
      <c r="M38" s="62">
        <f t="shared" si="22"/>
        <v>0</v>
      </c>
      <c r="N38" s="62">
        <f t="shared" si="22"/>
        <v>0</v>
      </c>
      <c r="O38" s="62">
        <f t="shared" si="22"/>
        <v>0</v>
      </c>
      <c r="P38" s="62">
        <f t="shared" si="22"/>
        <v>0</v>
      </c>
      <c r="Q38" s="62">
        <f t="shared" si="22"/>
        <v>0</v>
      </c>
      <c r="R38" s="62">
        <f t="shared" si="22"/>
        <v>0</v>
      </c>
      <c r="S38" s="62">
        <f t="shared" si="22"/>
        <v>0</v>
      </c>
      <c r="T38" s="62">
        <f t="shared" si="22"/>
        <v>0</v>
      </c>
      <c r="U38" s="62">
        <f t="shared" si="22"/>
        <v>0</v>
      </c>
      <c r="V38" s="62">
        <f t="shared" si="22"/>
        <v>0</v>
      </c>
      <c r="W38" s="62">
        <f t="shared" si="22"/>
        <v>0</v>
      </c>
      <c r="X38" s="62">
        <f t="shared" si="22"/>
        <v>0</v>
      </c>
      <c r="Y38" s="62">
        <f t="shared" si="22"/>
        <v>0</v>
      </c>
      <c r="Z38" s="62">
        <f t="shared" si="22"/>
        <v>0</v>
      </c>
      <c r="AA38" s="62">
        <f t="shared" si="22"/>
        <v>0</v>
      </c>
      <c r="AB38" s="62">
        <f t="shared" si="22"/>
        <v>0</v>
      </c>
      <c r="AC38" s="62">
        <f t="shared" si="22"/>
        <v>0</v>
      </c>
      <c r="AD38" s="62">
        <f t="shared" si="22"/>
        <v>0</v>
      </c>
      <c r="AE38" s="62">
        <f t="shared" si="22"/>
        <v>0</v>
      </c>
      <c r="AF38" s="62">
        <f t="shared" si="22"/>
        <v>0</v>
      </c>
      <c r="AG38" s="62">
        <f t="shared" si="22"/>
        <v>0</v>
      </c>
      <c r="AH38" s="62">
        <f t="shared" si="22"/>
        <v>0</v>
      </c>
      <c r="AI38" s="62">
        <f t="shared" si="22"/>
        <v>0</v>
      </c>
      <c r="AJ38" s="61"/>
      <c r="AK38" s="4"/>
      <c r="AL38" s="59"/>
      <c r="AM38" s="59"/>
      <c r="AN38" s="59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</row>
    <row r="39" spans="1:51" ht="34.5" customHeight="1">
      <c r="A39" s="5"/>
      <c r="B39" s="419"/>
      <c r="C39" s="426" t="s">
        <v>46</v>
      </c>
      <c r="D39" s="427"/>
      <c r="E39" s="62">
        <f>COUNTIF(E$7:E$17,"休")+COUNTIF(E$7:E$17,"希")+COUNTIF(E$7:E$17,"有")</f>
        <v>0</v>
      </c>
      <c r="F39" s="62">
        <f t="shared" ref="F39:AI39" si="23">COUNTIF(F$7:F$17,"休")+COUNTIF(F$7:F$17,"希")+COUNTIF(F$7:F$17,"有")</f>
        <v>0</v>
      </c>
      <c r="G39" s="62">
        <f t="shared" si="23"/>
        <v>0</v>
      </c>
      <c r="H39" s="62">
        <f t="shared" si="23"/>
        <v>0</v>
      </c>
      <c r="I39" s="62">
        <f t="shared" si="23"/>
        <v>0</v>
      </c>
      <c r="J39" s="62">
        <f t="shared" si="23"/>
        <v>0</v>
      </c>
      <c r="K39" s="62">
        <f t="shared" si="23"/>
        <v>0</v>
      </c>
      <c r="L39" s="62">
        <f t="shared" si="23"/>
        <v>0</v>
      </c>
      <c r="M39" s="62">
        <f t="shared" si="23"/>
        <v>0</v>
      </c>
      <c r="N39" s="62">
        <f t="shared" si="23"/>
        <v>0</v>
      </c>
      <c r="O39" s="62">
        <f t="shared" si="23"/>
        <v>0</v>
      </c>
      <c r="P39" s="62">
        <f t="shared" si="23"/>
        <v>0</v>
      </c>
      <c r="Q39" s="62">
        <f t="shared" si="23"/>
        <v>0</v>
      </c>
      <c r="R39" s="62">
        <f t="shared" si="23"/>
        <v>0</v>
      </c>
      <c r="S39" s="62">
        <f t="shared" si="23"/>
        <v>0</v>
      </c>
      <c r="T39" s="62">
        <f t="shared" si="23"/>
        <v>0</v>
      </c>
      <c r="U39" s="62">
        <f t="shared" si="23"/>
        <v>0</v>
      </c>
      <c r="V39" s="62">
        <f t="shared" si="23"/>
        <v>0</v>
      </c>
      <c r="W39" s="62">
        <f t="shared" si="23"/>
        <v>0</v>
      </c>
      <c r="X39" s="62">
        <f t="shared" si="23"/>
        <v>0</v>
      </c>
      <c r="Y39" s="62">
        <f t="shared" si="23"/>
        <v>0</v>
      </c>
      <c r="Z39" s="62">
        <f t="shared" si="23"/>
        <v>0</v>
      </c>
      <c r="AA39" s="62">
        <f t="shared" si="23"/>
        <v>0</v>
      </c>
      <c r="AB39" s="62">
        <f t="shared" si="23"/>
        <v>0</v>
      </c>
      <c r="AC39" s="62">
        <f t="shared" si="23"/>
        <v>0</v>
      </c>
      <c r="AD39" s="62">
        <f t="shared" si="23"/>
        <v>0</v>
      </c>
      <c r="AE39" s="62">
        <f t="shared" si="23"/>
        <v>0</v>
      </c>
      <c r="AF39" s="62">
        <f t="shared" si="23"/>
        <v>0</v>
      </c>
      <c r="AG39" s="62">
        <f t="shared" si="23"/>
        <v>0</v>
      </c>
      <c r="AH39" s="62">
        <f t="shared" si="23"/>
        <v>0</v>
      </c>
      <c r="AI39" s="62">
        <f t="shared" si="23"/>
        <v>0</v>
      </c>
      <c r="AJ39" s="61"/>
      <c r="AL39" s="59"/>
      <c r="AM39" s="59"/>
      <c r="AN39" s="59"/>
    </row>
    <row r="40" spans="1:51" ht="34.5" customHeight="1" thickBot="1">
      <c r="A40" s="5"/>
      <c r="B40" s="420"/>
      <c r="C40" s="428" t="s">
        <v>40</v>
      </c>
      <c r="D40" s="429"/>
      <c r="E40" s="127" t="str">
        <f>IF(OR(AND(E36&gt;0,E37&gt;0,E33&gt;0,E34&gt;0),AND(E36&gt;0,E37&gt;0,E34&gt;0,E35&gt;0)),"成立",IF(OR(AND(E36&gt;0,E37&gt;0,E32&gt;0,E34&gt;0),AND(E36&gt;0,E37&gt;0,E32&gt;0),AND(E36&gt;0,E37&gt;0,E35&gt;0)),"30分残業","不成立"))</f>
        <v>不成立</v>
      </c>
      <c r="F40" s="127" t="str">
        <f t="shared" ref="F40:AI40" si="24">IF(OR(AND(F36&gt;0,F37&gt;0,F33&gt;0,F34&gt;0),AND(F36&gt;0,F37&gt;0,F34&gt;0,F35&gt;0)),"成立",IF(OR(AND(F36&gt;0,F37&gt;0,F32&gt;0,F34&gt;0),AND(F36&gt;0,F37&gt;0,F32&gt;0),AND(F36&gt;0,F37&gt;0,F35&gt;0)),"30分残業","不成立"))</f>
        <v>不成立</v>
      </c>
      <c r="G40" s="127" t="str">
        <f t="shared" si="24"/>
        <v>不成立</v>
      </c>
      <c r="H40" s="127" t="str">
        <f t="shared" si="24"/>
        <v>不成立</v>
      </c>
      <c r="I40" s="127" t="str">
        <f t="shared" si="24"/>
        <v>不成立</v>
      </c>
      <c r="J40" s="127" t="str">
        <f t="shared" si="24"/>
        <v>不成立</v>
      </c>
      <c r="K40" s="127" t="str">
        <f t="shared" si="24"/>
        <v>不成立</v>
      </c>
      <c r="L40" s="127" t="str">
        <f t="shared" si="24"/>
        <v>不成立</v>
      </c>
      <c r="M40" s="127" t="str">
        <f t="shared" si="24"/>
        <v>不成立</v>
      </c>
      <c r="N40" s="127" t="str">
        <f t="shared" si="24"/>
        <v>不成立</v>
      </c>
      <c r="O40" s="127" t="str">
        <f t="shared" si="24"/>
        <v>不成立</v>
      </c>
      <c r="P40" s="127" t="str">
        <f t="shared" si="24"/>
        <v>不成立</v>
      </c>
      <c r="Q40" s="127" t="str">
        <f t="shared" si="24"/>
        <v>不成立</v>
      </c>
      <c r="R40" s="127" t="str">
        <f t="shared" si="24"/>
        <v>不成立</v>
      </c>
      <c r="S40" s="127" t="str">
        <f t="shared" si="24"/>
        <v>不成立</v>
      </c>
      <c r="T40" s="127" t="str">
        <f t="shared" si="24"/>
        <v>不成立</v>
      </c>
      <c r="U40" s="127" t="str">
        <f t="shared" si="24"/>
        <v>不成立</v>
      </c>
      <c r="V40" s="127" t="str">
        <f t="shared" si="24"/>
        <v>不成立</v>
      </c>
      <c r="W40" s="127" t="str">
        <f t="shared" si="24"/>
        <v>不成立</v>
      </c>
      <c r="X40" s="127" t="str">
        <f t="shared" si="24"/>
        <v>不成立</v>
      </c>
      <c r="Y40" s="127" t="str">
        <f t="shared" si="24"/>
        <v>不成立</v>
      </c>
      <c r="Z40" s="127" t="str">
        <f t="shared" si="24"/>
        <v>不成立</v>
      </c>
      <c r="AA40" s="127" t="str">
        <f t="shared" si="24"/>
        <v>不成立</v>
      </c>
      <c r="AB40" s="127" t="str">
        <f t="shared" si="24"/>
        <v>不成立</v>
      </c>
      <c r="AC40" s="127" t="str">
        <f t="shared" si="24"/>
        <v>不成立</v>
      </c>
      <c r="AD40" s="127" t="str">
        <f t="shared" si="24"/>
        <v>不成立</v>
      </c>
      <c r="AE40" s="127" t="str">
        <f t="shared" si="24"/>
        <v>不成立</v>
      </c>
      <c r="AF40" s="127" t="str">
        <f t="shared" si="24"/>
        <v>不成立</v>
      </c>
      <c r="AG40" s="127" t="str">
        <f t="shared" si="24"/>
        <v>不成立</v>
      </c>
      <c r="AH40" s="127" t="str">
        <f t="shared" si="24"/>
        <v>不成立</v>
      </c>
      <c r="AI40" s="127" t="str">
        <f t="shared" si="24"/>
        <v>不成立</v>
      </c>
      <c r="AJ40" s="61"/>
      <c r="AL40" s="59"/>
      <c r="AM40" s="59"/>
      <c r="AN40" s="59"/>
    </row>
    <row r="41" spans="1:51" ht="25.5" customHeight="1">
      <c r="A41" s="5"/>
      <c r="B41" s="55"/>
      <c r="C41" s="55"/>
      <c r="D41" s="55"/>
      <c r="E41" s="56"/>
      <c r="F41" s="26"/>
      <c r="G41" s="56"/>
      <c r="H41" s="56"/>
      <c r="I41" s="56"/>
      <c r="J41" s="56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"/>
    </row>
    <row r="42" spans="1:51" ht="36" customHeight="1" thickBo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</row>
    <row r="43" spans="1:51" ht="35.25" customHeight="1">
      <c r="A43" s="4"/>
      <c r="B43" s="430" t="s">
        <v>51</v>
      </c>
      <c r="C43" s="421" t="s">
        <v>69</v>
      </c>
      <c r="D43" s="422"/>
      <c r="E43" s="62">
        <f>COUNTIF(E$6:E$21,"A")</f>
        <v>0</v>
      </c>
      <c r="F43" s="62">
        <f t="shared" ref="F43:AI43" si="25">COUNTIF(F$6:F$21,"A")</f>
        <v>0</v>
      </c>
      <c r="G43" s="62">
        <f t="shared" si="25"/>
        <v>0</v>
      </c>
      <c r="H43" s="62">
        <f t="shared" si="25"/>
        <v>0</v>
      </c>
      <c r="I43" s="62">
        <f t="shared" si="25"/>
        <v>0</v>
      </c>
      <c r="J43" s="62">
        <f t="shared" si="25"/>
        <v>0</v>
      </c>
      <c r="K43" s="62">
        <f t="shared" si="25"/>
        <v>0</v>
      </c>
      <c r="L43" s="62">
        <f t="shared" si="25"/>
        <v>0</v>
      </c>
      <c r="M43" s="62">
        <f t="shared" si="25"/>
        <v>0</v>
      </c>
      <c r="N43" s="62">
        <f t="shared" si="25"/>
        <v>0</v>
      </c>
      <c r="O43" s="62">
        <f t="shared" si="25"/>
        <v>0</v>
      </c>
      <c r="P43" s="62">
        <f t="shared" si="25"/>
        <v>0</v>
      </c>
      <c r="Q43" s="62">
        <f t="shared" si="25"/>
        <v>0</v>
      </c>
      <c r="R43" s="62">
        <f t="shared" si="25"/>
        <v>0</v>
      </c>
      <c r="S43" s="62">
        <f t="shared" si="25"/>
        <v>0</v>
      </c>
      <c r="T43" s="62">
        <f t="shared" si="25"/>
        <v>0</v>
      </c>
      <c r="U43" s="62">
        <f t="shared" si="25"/>
        <v>0</v>
      </c>
      <c r="V43" s="62">
        <f t="shared" si="25"/>
        <v>0</v>
      </c>
      <c r="W43" s="62">
        <f t="shared" si="25"/>
        <v>0</v>
      </c>
      <c r="X43" s="62">
        <f t="shared" si="25"/>
        <v>0</v>
      </c>
      <c r="Y43" s="62">
        <f t="shared" si="25"/>
        <v>0</v>
      </c>
      <c r="Z43" s="62">
        <f t="shared" si="25"/>
        <v>0</v>
      </c>
      <c r="AA43" s="62">
        <f t="shared" si="25"/>
        <v>0</v>
      </c>
      <c r="AB43" s="62">
        <f t="shared" si="25"/>
        <v>0</v>
      </c>
      <c r="AC43" s="62">
        <f t="shared" si="25"/>
        <v>0</v>
      </c>
      <c r="AD43" s="62">
        <f t="shared" si="25"/>
        <v>0</v>
      </c>
      <c r="AE43" s="62">
        <f t="shared" si="25"/>
        <v>0</v>
      </c>
      <c r="AF43" s="62">
        <f t="shared" si="25"/>
        <v>0</v>
      </c>
      <c r="AG43" s="62">
        <f t="shared" si="25"/>
        <v>0</v>
      </c>
      <c r="AH43" s="62">
        <f t="shared" si="25"/>
        <v>0</v>
      </c>
      <c r="AI43" s="62">
        <f t="shared" si="25"/>
        <v>0</v>
      </c>
      <c r="AJ43" s="4"/>
    </row>
    <row r="44" spans="1:51" ht="39.75" customHeight="1">
      <c r="B44" s="431"/>
      <c r="C44" s="423" t="s">
        <v>37</v>
      </c>
      <c r="D44" s="424"/>
      <c r="E44" s="62">
        <f>COUNTIF(E$6:E$21,"B")</f>
        <v>0</v>
      </c>
      <c r="F44" s="62">
        <f t="shared" ref="F44:AI44" si="26">COUNTIF(F$6:F$21,"B")</f>
        <v>0</v>
      </c>
      <c r="G44" s="62">
        <f t="shared" si="26"/>
        <v>0</v>
      </c>
      <c r="H44" s="62">
        <f t="shared" si="26"/>
        <v>0</v>
      </c>
      <c r="I44" s="62">
        <f t="shared" si="26"/>
        <v>0</v>
      </c>
      <c r="J44" s="62">
        <f t="shared" si="26"/>
        <v>0</v>
      </c>
      <c r="K44" s="62">
        <f t="shared" si="26"/>
        <v>0</v>
      </c>
      <c r="L44" s="62">
        <f t="shared" si="26"/>
        <v>0</v>
      </c>
      <c r="M44" s="62">
        <f t="shared" si="26"/>
        <v>0</v>
      </c>
      <c r="N44" s="62">
        <f t="shared" si="26"/>
        <v>0</v>
      </c>
      <c r="O44" s="62">
        <f t="shared" si="26"/>
        <v>0</v>
      </c>
      <c r="P44" s="62">
        <f t="shared" si="26"/>
        <v>0</v>
      </c>
      <c r="Q44" s="62">
        <f t="shared" si="26"/>
        <v>0</v>
      </c>
      <c r="R44" s="62">
        <f t="shared" si="26"/>
        <v>0</v>
      </c>
      <c r="S44" s="62">
        <f t="shared" si="26"/>
        <v>0</v>
      </c>
      <c r="T44" s="62">
        <f t="shared" si="26"/>
        <v>0</v>
      </c>
      <c r="U44" s="62">
        <f t="shared" si="26"/>
        <v>0</v>
      </c>
      <c r="V44" s="62">
        <f t="shared" si="26"/>
        <v>0</v>
      </c>
      <c r="W44" s="62">
        <f t="shared" si="26"/>
        <v>0</v>
      </c>
      <c r="X44" s="62">
        <f t="shared" si="26"/>
        <v>0</v>
      </c>
      <c r="Y44" s="62">
        <f t="shared" si="26"/>
        <v>0</v>
      </c>
      <c r="Z44" s="62">
        <f t="shared" si="26"/>
        <v>0</v>
      </c>
      <c r="AA44" s="62">
        <f t="shared" si="26"/>
        <v>0</v>
      </c>
      <c r="AB44" s="62">
        <f t="shared" si="26"/>
        <v>0</v>
      </c>
      <c r="AC44" s="62">
        <f t="shared" si="26"/>
        <v>0</v>
      </c>
      <c r="AD44" s="62">
        <f t="shared" si="26"/>
        <v>0</v>
      </c>
      <c r="AE44" s="62">
        <f t="shared" si="26"/>
        <v>0</v>
      </c>
      <c r="AF44" s="62">
        <f t="shared" si="26"/>
        <v>0</v>
      </c>
      <c r="AG44" s="62">
        <f t="shared" si="26"/>
        <v>0</v>
      </c>
      <c r="AH44" s="62">
        <f t="shared" si="26"/>
        <v>0</v>
      </c>
      <c r="AI44" s="62">
        <f t="shared" si="26"/>
        <v>0</v>
      </c>
    </row>
    <row r="45" spans="1:51" ht="29.25" customHeight="1">
      <c r="B45" s="431"/>
      <c r="C45" s="423" t="s">
        <v>75</v>
      </c>
      <c r="D45" s="424"/>
      <c r="E45" s="62">
        <f>COUNTIF(E$6:E$21,"C")</f>
        <v>0</v>
      </c>
      <c r="F45" s="62">
        <f t="shared" ref="F45:AI45" si="27">COUNTIF(F$6:F$21,"C")</f>
        <v>0</v>
      </c>
      <c r="G45" s="62">
        <f t="shared" si="27"/>
        <v>0</v>
      </c>
      <c r="H45" s="62">
        <f t="shared" si="27"/>
        <v>0</v>
      </c>
      <c r="I45" s="62">
        <f t="shared" si="27"/>
        <v>0</v>
      </c>
      <c r="J45" s="62">
        <f t="shared" si="27"/>
        <v>0</v>
      </c>
      <c r="K45" s="62">
        <f t="shared" si="27"/>
        <v>0</v>
      </c>
      <c r="L45" s="62">
        <f t="shared" si="27"/>
        <v>0</v>
      </c>
      <c r="M45" s="62">
        <f t="shared" si="27"/>
        <v>0</v>
      </c>
      <c r="N45" s="62">
        <f t="shared" si="27"/>
        <v>0</v>
      </c>
      <c r="O45" s="62">
        <f t="shared" si="27"/>
        <v>0</v>
      </c>
      <c r="P45" s="62">
        <f t="shared" si="27"/>
        <v>0</v>
      </c>
      <c r="Q45" s="62">
        <f t="shared" si="27"/>
        <v>0</v>
      </c>
      <c r="R45" s="62">
        <f t="shared" si="27"/>
        <v>0</v>
      </c>
      <c r="S45" s="62">
        <f t="shared" si="27"/>
        <v>0</v>
      </c>
      <c r="T45" s="62">
        <f t="shared" si="27"/>
        <v>0</v>
      </c>
      <c r="U45" s="62">
        <f t="shared" si="27"/>
        <v>0</v>
      </c>
      <c r="V45" s="62">
        <f t="shared" si="27"/>
        <v>0</v>
      </c>
      <c r="W45" s="62">
        <f t="shared" si="27"/>
        <v>0</v>
      </c>
      <c r="X45" s="62">
        <f t="shared" si="27"/>
        <v>0</v>
      </c>
      <c r="Y45" s="62">
        <f t="shared" si="27"/>
        <v>0</v>
      </c>
      <c r="Z45" s="62">
        <f t="shared" si="27"/>
        <v>0</v>
      </c>
      <c r="AA45" s="62">
        <f t="shared" si="27"/>
        <v>0</v>
      </c>
      <c r="AB45" s="62">
        <f t="shared" si="27"/>
        <v>0</v>
      </c>
      <c r="AC45" s="62">
        <f t="shared" si="27"/>
        <v>0</v>
      </c>
      <c r="AD45" s="62">
        <f t="shared" si="27"/>
        <v>0</v>
      </c>
      <c r="AE45" s="62">
        <f t="shared" si="27"/>
        <v>0</v>
      </c>
      <c r="AF45" s="62">
        <f t="shared" si="27"/>
        <v>0</v>
      </c>
      <c r="AG45" s="62">
        <f t="shared" si="27"/>
        <v>0</v>
      </c>
      <c r="AH45" s="62">
        <f t="shared" si="27"/>
        <v>0</v>
      </c>
      <c r="AI45" s="62">
        <f t="shared" si="27"/>
        <v>0</v>
      </c>
    </row>
    <row r="46" spans="1:51" ht="29.25" customHeight="1">
      <c r="B46" s="431"/>
      <c r="C46" s="423" t="s">
        <v>70</v>
      </c>
      <c r="D46" s="424"/>
      <c r="E46" s="62">
        <f>COUNTIF(E$6:E$21,"D")</f>
        <v>0</v>
      </c>
      <c r="F46" s="62">
        <f t="shared" ref="F46:AI46" si="28">COUNTIF(F$6:F$21,"D")</f>
        <v>0</v>
      </c>
      <c r="G46" s="62">
        <f t="shared" si="28"/>
        <v>0</v>
      </c>
      <c r="H46" s="62">
        <f t="shared" si="28"/>
        <v>0</v>
      </c>
      <c r="I46" s="62">
        <f t="shared" si="28"/>
        <v>0</v>
      </c>
      <c r="J46" s="62">
        <f t="shared" si="28"/>
        <v>0</v>
      </c>
      <c r="K46" s="62">
        <f t="shared" si="28"/>
        <v>0</v>
      </c>
      <c r="L46" s="62">
        <f t="shared" si="28"/>
        <v>0</v>
      </c>
      <c r="M46" s="62">
        <f t="shared" si="28"/>
        <v>0</v>
      </c>
      <c r="N46" s="62">
        <f t="shared" si="28"/>
        <v>0</v>
      </c>
      <c r="O46" s="62">
        <f t="shared" si="28"/>
        <v>0</v>
      </c>
      <c r="P46" s="62">
        <f t="shared" si="28"/>
        <v>0</v>
      </c>
      <c r="Q46" s="62">
        <f t="shared" si="28"/>
        <v>0</v>
      </c>
      <c r="R46" s="62">
        <f t="shared" si="28"/>
        <v>0</v>
      </c>
      <c r="S46" s="62">
        <f t="shared" si="28"/>
        <v>0</v>
      </c>
      <c r="T46" s="62">
        <f t="shared" si="28"/>
        <v>0</v>
      </c>
      <c r="U46" s="62">
        <f t="shared" si="28"/>
        <v>0</v>
      </c>
      <c r="V46" s="62">
        <f t="shared" si="28"/>
        <v>0</v>
      </c>
      <c r="W46" s="62">
        <f t="shared" si="28"/>
        <v>0</v>
      </c>
      <c r="X46" s="62">
        <f t="shared" si="28"/>
        <v>0</v>
      </c>
      <c r="Y46" s="62">
        <f t="shared" si="28"/>
        <v>0</v>
      </c>
      <c r="Z46" s="62">
        <f t="shared" si="28"/>
        <v>0</v>
      </c>
      <c r="AA46" s="62">
        <f t="shared" si="28"/>
        <v>0</v>
      </c>
      <c r="AB46" s="62">
        <f t="shared" si="28"/>
        <v>0</v>
      </c>
      <c r="AC46" s="62">
        <f t="shared" si="28"/>
        <v>0</v>
      </c>
      <c r="AD46" s="62">
        <f t="shared" si="28"/>
        <v>0</v>
      </c>
      <c r="AE46" s="62">
        <f t="shared" si="28"/>
        <v>0</v>
      </c>
      <c r="AF46" s="62">
        <f t="shared" si="28"/>
        <v>0</v>
      </c>
      <c r="AG46" s="62">
        <f t="shared" si="28"/>
        <v>0</v>
      </c>
      <c r="AH46" s="62">
        <f t="shared" si="28"/>
        <v>0</v>
      </c>
      <c r="AI46" s="62">
        <f t="shared" si="28"/>
        <v>0</v>
      </c>
    </row>
    <row r="47" spans="1:51" ht="29.25" customHeight="1">
      <c r="B47" s="431"/>
      <c r="C47" s="423" t="s">
        <v>55</v>
      </c>
      <c r="D47" s="425"/>
      <c r="E47" s="62">
        <f>COUNTIF(E$6:E$21,"E")</f>
        <v>0</v>
      </c>
      <c r="F47" s="62">
        <f t="shared" ref="F47:AI47" si="29">COUNTIF(F$6:F$21,"E")</f>
        <v>0</v>
      </c>
      <c r="G47" s="62">
        <f t="shared" si="29"/>
        <v>0</v>
      </c>
      <c r="H47" s="62">
        <f t="shared" si="29"/>
        <v>0</v>
      </c>
      <c r="I47" s="62">
        <f t="shared" si="29"/>
        <v>0</v>
      </c>
      <c r="J47" s="62">
        <f t="shared" si="29"/>
        <v>0</v>
      </c>
      <c r="K47" s="62">
        <f t="shared" si="29"/>
        <v>0</v>
      </c>
      <c r="L47" s="62">
        <f t="shared" si="29"/>
        <v>0</v>
      </c>
      <c r="M47" s="62">
        <f t="shared" si="29"/>
        <v>0</v>
      </c>
      <c r="N47" s="62">
        <f t="shared" si="29"/>
        <v>0</v>
      </c>
      <c r="O47" s="62">
        <f t="shared" si="29"/>
        <v>0</v>
      </c>
      <c r="P47" s="62">
        <f t="shared" si="29"/>
        <v>0</v>
      </c>
      <c r="Q47" s="62">
        <f t="shared" si="29"/>
        <v>0</v>
      </c>
      <c r="R47" s="62">
        <f t="shared" si="29"/>
        <v>0</v>
      </c>
      <c r="S47" s="62">
        <f t="shared" si="29"/>
        <v>0</v>
      </c>
      <c r="T47" s="62">
        <f t="shared" si="29"/>
        <v>0</v>
      </c>
      <c r="U47" s="62">
        <f t="shared" si="29"/>
        <v>0</v>
      </c>
      <c r="V47" s="62">
        <f t="shared" si="29"/>
        <v>0</v>
      </c>
      <c r="W47" s="62">
        <f t="shared" si="29"/>
        <v>0</v>
      </c>
      <c r="X47" s="62">
        <f t="shared" si="29"/>
        <v>0</v>
      </c>
      <c r="Y47" s="62">
        <f t="shared" si="29"/>
        <v>0</v>
      </c>
      <c r="Z47" s="62">
        <f t="shared" si="29"/>
        <v>0</v>
      </c>
      <c r="AA47" s="62">
        <f t="shared" si="29"/>
        <v>0</v>
      </c>
      <c r="AB47" s="62">
        <f t="shared" si="29"/>
        <v>0</v>
      </c>
      <c r="AC47" s="62">
        <f t="shared" si="29"/>
        <v>0</v>
      </c>
      <c r="AD47" s="62">
        <f t="shared" si="29"/>
        <v>0</v>
      </c>
      <c r="AE47" s="62">
        <f t="shared" si="29"/>
        <v>0</v>
      </c>
      <c r="AF47" s="62">
        <f t="shared" si="29"/>
        <v>0</v>
      </c>
      <c r="AG47" s="62">
        <f t="shared" si="29"/>
        <v>0</v>
      </c>
      <c r="AH47" s="62">
        <f t="shared" si="29"/>
        <v>0</v>
      </c>
      <c r="AI47" s="62">
        <f t="shared" si="29"/>
        <v>0</v>
      </c>
    </row>
    <row r="48" spans="1:51" ht="29.25" customHeight="1">
      <c r="B48" s="431"/>
      <c r="C48" s="423" t="s">
        <v>71</v>
      </c>
      <c r="D48" s="425"/>
      <c r="E48" s="62">
        <f>COUNTIF(E$6:E$21,"夜")</f>
        <v>0</v>
      </c>
      <c r="F48" s="62">
        <f t="shared" ref="F48:AI48" si="30">COUNTIF(F$6:F$21,"夜")</f>
        <v>0</v>
      </c>
      <c r="G48" s="62">
        <f t="shared" si="30"/>
        <v>0</v>
      </c>
      <c r="H48" s="62">
        <f t="shared" si="30"/>
        <v>0</v>
      </c>
      <c r="I48" s="62">
        <f t="shared" si="30"/>
        <v>0</v>
      </c>
      <c r="J48" s="62">
        <f t="shared" si="30"/>
        <v>0</v>
      </c>
      <c r="K48" s="62">
        <f t="shared" si="30"/>
        <v>0</v>
      </c>
      <c r="L48" s="62">
        <f t="shared" si="30"/>
        <v>0</v>
      </c>
      <c r="M48" s="62">
        <f t="shared" si="30"/>
        <v>0</v>
      </c>
      <c r="N48" s="62">
        <f t="shared" si="30"/>
        <v>0</v>
      </c>
      <c r="O48" s="62">
        <f t="shared" si="30"/>
        <v>0</v>
      </c>
      <c r="P48" s="62">
        <f t="shared" si="30"/>
        <v>0</v>
      </c>
      <c r="Q48" s="62">
        <f t="shared" si="30"/>
        <v>0</v>
      </c>
      <c r="R48" s="62">
        <f t="shared" si="30"/>
        <v>0</v>
      </c>
      <c r="S48" s="62">
        <f t="shared" si="30"/>
        <v>0</v>
      </c>
      <c r="T48" s="62">
        <f t="shared" si="30"/>
        <v>0</v>
      </c>
      <c r="U48" s="62">
        <f t="shared" si="30"/>
        <v>0</v>
      </c>
      <c r="V48" s="62">
        <f t="shared" si="30"/>
        <v>0</v>
      </c>
      <c r="W48" s="62">
        <f t="shared" si="30"/>
        <v>0</v>
      </c>
      <c r="X48" s="62">
        <f t="shared" si="30"/>
        <v>0</v>
      </c>
      <c r="Y48" s="62">
        <f t="shared" si="30"/>
        <v>0</v>
      </c>
      <c r="Z48" s="62">
        <f t="shared" si="30"/>
        <v>0</v>
      </c>
      <c r="AA48" s="62">
        <f t="shared" si="30"/>
        <v>0</v>
      </c>
      <c r="AB48" s="62">
        <f t="shared" si="30"/>
        <v>0</v>
      </c>
      <c r="AC48" s="62">
        <f t="shared" si="30"/>
        <v>0</v>
      </c>
      <c r="AD48" s="62">
        <f t="shared" si="30"/>
        <v>0</v>
      </c>
      <c r="AE48" s="62">
        <f t="shared" si="30"/>
        <v>0</v>
      </c>
      <c r="AF48" s="62">
        <f t="shared" si="30"/>
        <v>0</v>
      </c>
      <c r="AG48" s="62">
        <f t="shared" si="30"/>
        <v>0</v>
      </c>
      <c r="AH48" s="62">
        <f t="shared" si="30"/>
        <v>0</v>
      </c>
      <c r="AI48" s="62">
        <f t="shared" si="30"/>
        <v>0</v>
      </c>
    </row>
    <row r="49" spans="2:51" ht="29.25" customHeight="1">
      <c r="B49" s="431"/>
      <c r="C49" s="423" t="s">
        <v>72</v>
      </c>
      <c r="D49" s="425"/>
      <c r="E49" s="62">
        <f>COUNTIF(E$6:E$21,"明")</f>
        <v>0</v>
      </c>
      <c r="F49" s="62">
        <f t="shared" ref="F49:AI49" si="31">COUNTIF(F$6:F$21,"明")</f>
        <v>0</v>
      </c>
      <c r="G49" s="62">
        <f t="shared" si="31"/>
        <v>0</v>
      </c>
      <c r="H49" s="62">
        <f t="shared" si="31"/>
        <v>0</v>
      </c>
      <c r="I49" s="62">
        <f t="shared" si="31"/>
        <v>0</v>
      </c>
      <c r="J49" s="62">
        <f t="shared" si="31"/>
        <v>0</v>
      </c>
      <c r="K49" s="62">
        <f t="shared" si="31"/>
        <v>0</v>
      </c>
      <c r="L49" s="62">
        <f t="shared" si="31"/>
        <v>0</v>
      </c>
      <c r="M49" s="62">
        <f t="shared" si="31"/>
        <v>0</v>
      </c>
      <c r="N49" s="62">
        <f t="shared" si="31"/>
        <v>0</v>
      </c>
      <c r="O49" s="62">
        <f t="shared" si="31"/>
        <v>0</v>
      </c>
      <c r="P49" s="62">
        <f t="shared" si="31"/>
        <v>0</v>
      </c>
      <c r="Q49" s="62">
        <f t="shared" si="31"/>
        <v>0</v>
      </c>
      <c r="R49" s="62">
        <f t="shared" si="31"/>
        <v>0</v>
      </c>
      <c r="S49" s="62">
        <f t="shared" si="31"/>
        <v>0</v>
      </c>
      <c r="T49" s="62">
        <f t="shared" si="31"/>
        <v>0</v>
      </c>
      <c r="U49" s="62">
        <f t="shared" si="31"/>
        <v>0</v>
      </c>
      <c r="V49" s="62">
        <f t="shared" si="31"/>
        <v>0</v>
      </c>
      <c r="W49" s="62">
        <f t="shared" si="31"/>
        <v>0</v>
      </c>
      <c r="X49" s="62">
        <f t="shared" si="31"/>
        <v>0</v>
      </c>
      <c r="Y49" s="62">
        <f t="shared" si="31"/>
        <v>0</v>
      </c>
      <c r="Z49" s="62">
        <f t="shared" si="31"/>
        <v>0</v>
      </c>
      <c r="AA49" s="62">
        <f t="shared" si="31"/>
        <v>0</v>
      </c>
      <c r="AB49" s="62">
        <f t="shared" si="31"/>
        <v>0</v>
      </c>
      <c r="AC49" s="62">
        <f t="shared" si="31"/>
        <v>0</v>
      </c>
      <c r="AD49" s="62">
        <f t="shared" si="31"/>
        <v>0</v>
      </c>
      <c r="AE49" s="62">
        <f t="shared" si="31"/>
        <v>0</v>
      </c>
      <c r="AF49" s="62">
        <f t="shared" si="31"/>
        <v>0</v>
      </c>
      <c r="AG49" s="62">
        <f t="shared" si="31"/>
        <v>0</v>
      </c>
      <c r="AH49" s="62">
        <f t="shared" si="31"/>
        <v>0</v>
      </c>
      <c r="AI49" s="62">
        <f t="shared" si="31"/>
        <v>0</v>
      </c>
    </row>
    <row r="50" spans="2:51" ht="29.25" customHeight="1">
      <c r="B50" s="431"/>
      <c r="C50" s="426" t="s">
        <v>47</v>
      </c>
      <c r="D50" s="427"/>
      <c r="E50" s="62">
        <f>SUM(E43:E49)</f>
        <v>0</v>
      </c>
      <c r="F50" s="62">
        <f t="shared" ref="F50:AI50" si="32">SUM(F43:F49)</f>
        <v>0</v>
      </c>
      <c r="G50" s="62">
        <f t="shared" si="32"/>
        <v>0</v>
      </c>
      <c r="H50" s="62">
        <f t="shared" si="32"/>
        <v>0</v>
      </c>
      <c r="I50" s="62">
        <f t="shared" si="32"/>
        <v>0</v>
      </c>
      <c r="J50" s="62">
        <f t="shared" si="32"/>
        <v>0</v>
      </c>
      <c r="K50" s="62">
        <f t="shared" si="32"/>
        <v>0</v>
      </c>
      <c r="L50" s="62">
        <f t="shared" si="32"/>
        <v>0</v>
      </c>
      <c r="M50" s="62">
        <f t="shared" si="32"/>
        <v>0</v>
      </c>
      <c r="N50" s="62">
        <f t="shared" si="32"/>
        <v>0</v>
      </c>
      <c r="O50" s="62">
        <f t="shared" si="32"/>
        <v>0</v>
      </c>
      <c r="P50" s="62">
        <f t="shared" si="32"/>
        <v>0</v>
      </c>
      <c r="Q50" s="62">
        <f t="shared" si="32"/>
        <v>0</v>
      </c>
      <c r="R50" s="62">
        <f t="shared" si="32"/>
        <v>0</v>
      </c>
      <c r="S50" s="62">
        <f t="shared" si="32"/>
        <v>0</v>
      </c>
      <c r="T50" s="62">
        <f t="shared" si="32"/>
        <v>0</v>
      </c>
      <c r="U50" s="62">
        <f t="shared" si="32"/>
        <v>0</v>
      </c>
      <c r="V50" s="62">
        <f t="shared" si="32"/>
        <v>0</v>
      </c>
      <c r="W50" s="62">
        <f t="shared" si="32"/>
        <v>0</v>
      </c>
      <c r="X50" s="62">
        <f t="shared" si="32"/>
        <v>0</v>
      </c>
      <c r="Y50" s="62">
        <f t="shared" si="32"/>
        <v>0</v>
      </c>
      <c r="Z50" s="62">
        <f t="shared" si="32"/>
        <v>0</v>
      </c>
      <c r="AA50" s="62">
        <f t="shared" si="32"/>
        <v>0</v>
      </c>
      <c r="AB50" s="62">
        <f t="shared" si="32"/>
        <v>0</v>
      </c>
      <c r="AC50" s="62">
        <f t="shared" si="32"/>
        <v>0</v>
      </c>
      <c r="AD50" s="62">
        <f t="shared" si="32"/>
        <v>0</v>
      </c>
      <c r="AE50" s="62">
        <f t="shared" si="32"/>
        <v>0</v>
      </c>
      <c r="AF50" s="62">
        <f t="shared" si="32"/>
        <v>0</v>
      </c>
      <c r="AG50" s="62">
        <f t="shared" si="32"/>
        <v>0</v>
      </c>
      <c r="AH50" s="62">
        <f t="shared" si="32"/>
        <v>0</v>
      </c>
      <c r="AI50" s="62">
        <f t="shared" si="32"/>
        <v>0</v>
      </c>
    </row>
    <row r="51" spans="2:51" ht="29.25" customHeight="1">
      <c r="B51" s="431"/>
      <c r="C51" s="426" t="s">
        <v>46</v>
      </c>
      <c r="D51" s="427"/>
      <c r="E51" s="62">
        <f>COUNTIF(E$6:E$21,"休")+COUNTIF(E$6:E$21,"希")+COUNTIF(E$6:E$21,"有")</f>
        <v>0</v>
      </c>
      <c r="F51" s="62">
        <f t="shared" ref="F51:AI51" si="33">COUNTIF(F$6:F$21,"休")+COUNTIF(F$6:F$21,"希")+COUNTIF(F$6:F$21,"有")</f>
        <v>0</v>
      </c>
      <c r="G51" s="62">
        <f t="shared" si="33"/>
        <v>0</v>
      </c>
      <c r="H51" s="62">
        <f t="shared" si="33"/>
        <v>0</v>
      </c>
      <c r="I51" s="62">
        <f t="shared" si="33"/>
        <v>0</v>
      </c>
      <c r="J51" s="62">
        <f t="shared" si="33"/>
        <v>0</v>
      </c>
      <c r="K51" s="62">
        <f t="shared" si="33"/>
        <v>0</v>
      </c>
      <c r="L51" s="62">
        <f t="shared" si="33"/>
        <v>0</v>
      </c>
      <c r="M51" s="62">
        <f t="shared" si="33"/>
        <v>0</v>
      </c>
      <c r="N51" s="62">
        <f t="shared" si="33"/>
        <v>0</v>
      </c>
      <c r="O51" s="62">
        <f t="shared" si="33"/>
        <v>0</v>
      </c>
      <c r="P51" s="62">
        <f t="shared" si="33"/>
        <v>0</v>
      </c>
      <c r="Q51" s="62">
        <f t="shared" si="33"/>
        <v>0</v>
      </c>
      <c r="R51" s="62">
        <f t="shared" si="33"/>
        <v>0</v>
      </c>
      <c r="S51" s="62">
        <f t="shared" si="33"/>
        <v>0</v>
      </c>
      <c r="T51" s="62">
        <f t="shared" si="33"/>
        <v>0</v>
      </c>
      <c r="U51" s="62">
        <f t="shared" si="33"/>
        <v>0</v>
      </c>
      <c r="V51" s="62">
        <f t="shared" si="33"/>
        <v>0</v>
      </c>
      <c r="W51" s="62">
        <f t="shared" si="33"/>
        <v>0</v>
      </c>
      <c r="X51" s="62">
        <f t="shared" si="33"/>
        <v>0</v>
      </c>
      <c r="Y51" s="62">
        <f t="shared" si="33"/>
        <v>0</v>
      </c>
      <c r="Z51" s="62">
        <f t="shared" si="33"/>
        <v>0</v>
      </c>
      <c r="AA51" s="62">
        <f t="shared" si="33"/>
        <v>0</v>
      </c>
      <c r="AB51" s="62">
        <f t="shared" si="33"/>
        <v>0</v>
      </c>
      <c r="AC51" s="62">
        <f t="shared" si="33"/>
        <v>0</v>
      </c>
      <c r="AD51" s="62">
        <f t="shared" si="33"/>
        <v>0</v>
      </c>
      <c r="AE51" s="62">
        <f t="shared" si="33"/>
        <v>0</v>
      </c>
      <c r="AF51" s="62">
        <f t="shared" si="33"/>
        <v>0</v>
      </c>
      <c r="AG51" s="62">
        <f t="shared" si="33"/>
        <v>0</v>
      </c>
      <c r="AH51" s="62">
        <f t="shared" si="33"/>
        <v>0</v>
      </c>
      <c r="AI51" s="62">
        <f t="shared" si="33"/>
        <v>0</v>
      </c>
    </row>
    <row r="52" spans="2:51" ht="29.25" customHeight="1" thickBot="1">
      <c r="B52" s="432"/>
      <c r="C52" s="428" t="s">
        <v>40</v>
      </c>
      <c r="D52" s="429"/>
      <c r="E52" s="128" t="str">
        <f>IF(AND(E43&gt;=1,E44&gt;=1,E45&gt;=1,E46&gt;=1,E48&gt;=1,E49&gt;=1),"成立",IF(AND(E48&gt;=1,E49&gt;=1,E44&gt;=1,E45&gt;=1,E46&gt;=1),"条件付","不成立"))</f>
        <v>不成立</v>
      </c>
      <c r="F52" s="128" t="str">
        <f t="shared" ref="F52:AI52" si="34">IF(AND(F43&gt;=1,F44&gt;=1,F45&gt;=1,F46&gt;=1,F48&gt;=1,F49&gt;=1),"成立",IF(AND(F48&gt;=1,F49&gt;=1,F44&gt;=1,F45&gt;=1,F46&gt;=1),"条件付","不成立"))</f>
        <v>不成立</v>
      </c>
      <c r="G52" s="128" t="str">
        <f t="shared" si="34"/>
        <v>不成立</v>
      </c>
      <c r="H52" s="128" t="str">
        <f t="shared" si="34"/>
        <v>不成立</v>
      </c>
      <c r="I52" s="128" t="str">
        <f t="shared" si="34"/>
        <v>不成立</v>
      </c>
      <c r="J52" s="128" t="str">
        <f t="shared" si="34"/>
        <v>不成立</v>
      </c>
      <c r="K52" s="128" t="str">
        <f t="shared" si="34"/>
        <v>不成立</v>
      </c>
      <c r="L52" s="128" t="str">
        <f t="shared" si="34"/>
        <v>不成立</v>
      </c>
      <c r="M52" s="128" t="str">
        <f t="shared" si="34"/>
        <v>不成立</v>
      </c>
      <c r="N52" s="128" t="str">
        <f t="shared" si="34"/>
        <v>不成立</v>
      </c>
      <c r="O52" s="128" t="str">
        <f t="shared" si="34"/>
        <v>不成立</v>
      </c>
      <c r="P52" s="128" t="str">
        <f t="shared" si="34"/>
        <v>不成立</v>
      </c>
      <c r="Q52" s="128" t="str">
        <f t="shared" si="34"/>
        <v>不成立</v>
      </c>
      <c r="R52" s="128" t="str">
        <f t="shared" si="34"/>
        <v>不成立</v>
      </c>
      <c r="S52" s="128" t="str">
        <f t="shared" si="34"/>
        <v>不成立</v>
      </c>
      <c r="T52" s="128" t="str">
        <f t="shared" si="34"/>
        <v>不成立</v>
      </c>
      <c r="U52" s="128" t="str">
        <f t="shared" si="34"/>
        <v>不成立</v>
      </c>
      <c r="V52" s="128" t="str">
        <f t="shared" si="34"/>
        <v>不成立</v>
      </c>
      <c r="W52" s="128" t="str">
        <f t="shared" si="34"/>
        <v>不成立</v>
      </c>
      <c r="X52" s="128" t="str">
        <f t="shared" si="34"/>
        <v>不成立</v>
      </c>
      <c r="Y52" s="128" t="str">
        <f t="shared" si="34"/>
        <v>不成立</v>
      </c>
      <c r="Z52" s="128" t="str">
        <f t="shared" si="34"/>
        <v>不成立</v>
      </c>
      <c r="AA52" s="128" t="str">
        <f t="shared" si="34"/>
        <v>不成立</v>
      </c>
      <c r="AB52" s="128" t="str">
        <f t="shared" si="34"/>
        <v>不成立</v>
      </c>
      <c r="AC52" s="128" t="str">
        <f t="shared" si="34"/>
        <v>不成立</v>
      </c>
      <c r="AD52" s="128" t="str">
        <f t="shared" si="34"/>
        <v>不成立</v>
      </c>
      <c r="AE52" s="128" t="str">
        <f t="shared" si="34"/>
        <v>不成立</v>
      </c>
      <c r="AF52" s="128" t="str">
        <f t="shared" si="34"/>
        <v>不成立</v>
      </c>
      <c r="AG52" s="128" t="str">
        <f t="shared" si="34"/>
        <v>不成立</v>
      </c>
      <c r="AH52" s="128" t="str">
        <f t="shared" si="34"/>
        <v>不成立</v>
      </c>
      <c r="AI52" s="128" t="str">
        <f t="shared" si="34"/>
        <v>不成立</v>
      </c>
    </row>
    <row r="53" spans="2:51" ht="29.25" customHeight="1"/>
    <row r="54" spans="2:51" ht="29.25" customHeight="1"/>
    <row r="55" spans="2:51" ht="29.25" customHeight="1"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</row>
    <row r="56" spans="2:51" ht="29.25" customHeight="1"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</row>
    <row r="57" spans="2:51" ht="29.25" customHeight="1"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</row>
    <row r="58" spans="2:51" ht="29.25" customHeight="1"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</row>
    <row r="59" spans="2:51" ht="29.25" customHeight="1"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</row>
    <row r="60" spans="2:51" ht="29.25" customHeight="1"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</row>
    <row r="61" spans="2:51" ht="29.25" customHeight="1"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</row>
    <row r="62" spans="2:51" ht="29.25" customHeight="1"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</row>
    <row r="63" spans="2:51" ht="29.25" customHeight="1"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</row>
    <row r="64" spans="2:51" ht="29.25" customHeight="1"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</row>
    <row r="65" ht="29.25" customHeight="1"/>
    <row r="66" ht="29.25" customHeight="1"/>
    <row r="67" ht="29.25" customHeight="1"/>
    <row r="68" ht="29.25" customHeight="1"/>
    <row r="69" ht="29.25" customHeight="1"/>
    <row r="70" ht="29.25" customHeight="1"/>
    <row r="71" ht="29.25" customHeight="1"/>
    <row r="72" ht="29.25" customHeight="1"/>
    <row r="73" ht="29.25" customHeight="1"/>
    <row r="74" ht="29.25" customHeight="1"/>
    <row r="75" ht="29.25" customHeight="1"/>
    <row r="76" ht="29.25" customHeight="1"/>
    <row r="77" ht="29.25" customHeight="1"/>
    <row r="78" ht="29.25" customHeight="1"/>
    <row r="79" ht="29.25" customHeight="1"/>
    <row r="80" ht="29.25" customHeight="1"/>
    <row r="81" ht="29.25" customHeight="1"/>
    <row r="82" ht="29.25" customHeight="1"/>
    <row r="83" ht="29.25" customHeight="1"/>
    <row r="84" ht="29.25" customHeight="1"/>
    <row r="85" ht="29.25" customHeight="1"/>
    <row r="86" ht="29.25" customHeight="1"/>
    <row r="87" ht="29.25" customHeight="1"/>
    <row r="88" ht="29.25" customHeight="1"/>
    <row r="89" ht="29.25" customHeight="1"/>
    <row r="90" ht="29.25" customHeight="1"/>
    <row r="91" ht="29.25" customHeight="1"/>
    <row r="92" ht="29.25" customHeight="1"/>
    <row r="93" ht="29.25" customHeight="1"/>
    <row r="94" ht="29.25" customHeight="1"/>
    <row r="95" ht="29.25" customHeight="1"/>
    <row r="96" ht="29.25" customHeight="1"/>
    <row r="97" ht="29.25" customHeight="1"/>
    <row r="98" ht="29.25" customHeight="1"/>
    <row r="99" ht="29.25" customHeight="1"/>
    <row r="100" ht="29.25" customHeight="1"/>
    <row r="101" ht="29.25" customHeight="1"/>
    <row r="102" ht="29.25" customHeight="1"/>
    <row r="103" ht="29.25" customHeight="1"/>
    <row r="104" ht="29.25" customHeight="1"/>
    <row r="105" ht="29.25" customHeight="1"/>
    <row r="106" ht="29.25" customHeight="1"/>
    <row r="107" ht="29.25" customHeight="1"/>
    <row r="108" ht="29.25" customHeight="1"/>
    <row r="109" ht="29.25" customHeight="1"/>
  </sheetData>
  <mergeCells count="25">
    <mergeCell ref="B43:B5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E2:H2"/>
    <mergeCell ref="J2:M2"/>
    <mergeCell ref="AB3:AI3"/>
    <mergeCell ref="B4:D5"/>
    <mergeCell ref="B32:B40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</mergeCells>
  <phoneticPr fontId="1"/>
  <conditionalFormatting sqref="E11:AH11">
    <cfRule type="containsText" dxfId="71" priority="138" operator="containsText" text="有">
      <formula>NOT(ISERROR(SEARCH("有",E11)))</formula>
    </cfRule>
    <cfRule type="containsText" dxfId="70" priority="144" operator="containsText" text="B">
      <formula>NOT(ISERROR(SEARCH("B",E11)))</formula>
    </cfRule>
    <cfRule type="containsText" dxfId="69" priority="143" operator="containsText" text="D">
      <formula>NOT(ISERROR(SEARCH("D",E11)))</formula>
    </cfRule>
    <cfRule type="containsText" dxfId="68" priority="142" operator="containsText" text="C">
      <formula>NOT(ISERROR(SEARCH("C",E11)))</formula>
    </cfRule>
    <cfRule type="containsText" dxfId="67" priority="141" operator="containsText" text="夜">
      <formula>NOT(ISERROR(SEARCH("夜",E11)))</formula>
    </cfRule>
    <cfRule type="containsText" dxfId="66" priority="140" operator="containsText" text="明">
      <formula>NOT(ISERROR(SEARCH("明",E11)))</formula>
    </cfRule>
    <cfRule type="containsText" dxfId="65" priority="137" operator="containsText" text="正">
      <formula>NOT(ISERROR(SEARCH("正",E11)))</formula>
    </cfRule>
    <cfRule type="containsText" dxfId="64" priority="136" operator="containsText" text="休">
      <formula>NOT(ISERROR(SEARCH("休",E11)))</formula>
    </cfRule>
    <cfRule type="containsText" dxfId="63" priority="135" operator="containsText" text="希">
      <formula>NOT(ISERROR(SEARCH("希",E11)))</formula>
    </cfRule>
    <cfRule type="containsText" dxfId="62" priority="134" operator="containsText" text="研">
      <formula>NOT(ISERROR(SEARCH("研",E11)))</formula>
    </cfRule>
    <cfRule type="containsText" dxfId="61" priority="133" operator="containsText" text="E">
      <formula>NOT(ISERROR(SEARCH("E",E11)))</formula>
    </cfRule>
    <cfRule type="containsText" dxfId="60" priority="132" operator="containsText" text="A">
      <formula>NOT(ISERROR(SEARCH("A",E11)))</formula>
    </cfRule>
    <cfRule type="containsText" dxfId="59" priority="139" operator="containsText" text="調">
      <formula>NOT(ISERROR(SEARCH("調",E11)))</formula>
    </cfRule>
  </conditionalFormatting>
  <conditionalFormatting sqref="E5:AI5">
    <cfRule type="containsText" dxfId="58" priority="263" operator="containsText" text="土">
      <formula>NOT(ISERROR(SEARCH("土",E5)))</formula>
    </cfRule>
    <cfRule type="containsText" dxfId="57" priority="264" operator="containsText" text="日">
      <formula>NOT(ISERROR(SEARCH("日",E5)))</formula>
    </cfRule>
  </conditionalFormatting>
  <conditionalFormatting sqref="E6:AI10">
    <cfRule type="containsText" dxfId="56" priority="34" operator="containsText" text="有">
      <formula>NOT(ISERROR(SEARCH("有",E6)))</formula>
    </cfRule>
    <cfRule type="containsText" dxfId="55" priority="35" operator="containsText" text="調">
      <formula>NOT(ISERROR(SEARCH("調",E6)))</formula>
    </cfRule>
    <cfRule type="containsText" dxfId="54" priority="36" operator="containsText" text="明">
      <formula>NOT(ISERROR(SEARCH("明",E6)))</formula>
    </cfRule>
    <cfRule type="containsText" dxfId="53" priority="37" operator="containsText" text="夜">
      <formula>NOT(ISERROR(SEARCH("夜",E6)))</formula>
    </cfRule>
    <cfRule type="containsText" dxfId="52" priority="38" operator="containsText" text="C">
      <formula>NOT(ISERROR(SEARCH("C",E6)))</formula>
    </cfRule>
    <cfRule type="containsText" dxfId="51" priority="39" operator="containsText" text="D">
      <formula>NOT(ISERROR(SEARCH("D",E6)))</formula>
    </cfRule>
    <cfRule type="containsText" dxfId="50" priority="40" operator="containsText" text="B">
      <formula>NOT(ISERROR(SEARCH("B",E6)))</formula>
    </cfRule>
    <cfRule type="containsText" dxfId="49" priority="32" operator="containsText" text="休">
      <formula>NOT(ISERROR(SEARCH("休",E6)))</formula>
    </cfRule>
    <cfRule type="containsText" dxfId="48" priority="31" operator="containsText" text="希">
      <formula>NOT(ISERROR(SEARCH("希",E6)))</formula>
    </cfRule>
    <cfRule type="containsText" dxfId="47" priority="30" operator="containsText" text="研">
      <formula>NOT(ISERROR(SEARCH("研",E6)))</formula>
    </cfRule>
    <cfRule type="containsText" dxfId="46" priority="29" operator="containsText" text="E">
      <formula>NOT(ISERROR(SEARCH("E",E6)))</formula>
    </cfRule>
    <cfRule type="containsText" dxfId="45" priority="28" operator="containsText" text="A">
      <formula>NOT(ISERROR(SEARCH("A",E6)))</formula>
    </cfRule>
    <cfRule type="containsText" dxfId="44" priority="33" operator="containsText" text="正">
      <formula>NOT(ISERROR(SEARCH("正",E6)))</formula>
    </cfRule>
  </conditionalFormatting>
  <conditionalFormatting sqref="E12:AI21">
    <cfRule type="containsText" dxfId="43" priority="261" operator="containsText" text="E">
      <formula>NOT(ISERROR(SEARCH("E",E12)))</formula>
    </cfRule>
  </conditionalFormatting>
  <conditionalFormatting sqref="E12:AI22">
    <cfRule type="containsText" dxfId="42" priority="255" operator="containsText" text="A">
      <formula>NOT(ISERROR(SEARCH("A",E12)))</formula>
    </cfRule>
    <cfRule type="containsText" dxfId="41" priority="273" operator="containsText" text="D">
      <formula>NOT(ISERROR(SEARCH("D",E12)))</formula>
    </cfRule>
    <cfRule type="containsText" dxfId="40" priority="274" operator="containsText" text="B">
      <formula>NOT(ISERROR(SEARCH("B",E12)))</formula>
    </cfRule>
    <cfRule type="containsText" dxfId="39" priority="272" operator="containsText" text="C">
      <formula>NOT(ISERROR(SEARCH("C",E12)))</formula>
    </cfRule>
    <cfRule type="containsText" dxfId="38" priority="271" operator="containsText" text="夜">
      <formula>NOT(ISERROR(SEARCH("夜",E12)))</formula>
    </cfRule>
    <cfRule type="containsText" dxfId="37" priority="270" operator="containsText" text="明">
      <formula>NOT(ISERROR(SEARCH("明",E12)))</formula>
    </cfRule>
    <cfRule type="containsText" dxfId="36" priority="269" operator="containsText" text="調">
      <formula>NOT(ISERROR(SEARCH("調",E12)))</formula>
    </cfRule>
    <cfRule type="containsText" dxfId="35" priority="268" operator="containsText" text="有">
      <formula>NOT(ISERROR(SEARCH("有",E12)))</formula>
    </cfRule>
    <cfRule type="containsText" dxfId="34" priority="267" operator="containsText" text="正">
      <formula>NOT(ISERROR(SEARCH("正",E12)))</formula>
    </cfRule>
    <cfRule type="containsText" dxfId="33" priority="266" operator="containsText" text="休">
      <formula>NOT(ISERROR(SEARCH("休",E12)))</formula>
    </cfRule>
    <cfRule type="containsText" dxfId="32" priority="265" operator="containsText" text="希">
      <formula>NOT(ISERROR(SEARCH("希",E12)))</formula>
    </cfRule>
    <cfRule type="containsText" dxfId="31" priority="262" operator="containsText" text="研">
      <formula>NOT(ISERROR(SEARCH("研",E12)))</formula>
    </cfRule>
  </conditionalFormatting>
  <conditionalFormatting sqref="E32:AI37">
    <cfRule type="cellIs" dxfId="30" priority="9" operator="equal">
      <formula>0</formula>
    </cfRule>
  </conditionalFormatting>
  <conditionalFormatting sqref="E39:AI39">
    <cfRule type="cellIs" dxfId="29" priority="8" operator="equal">
      <formula>0</formula>
    </cfRule>
  </conditionalFormatting>
  <conditionalFormatting sqref="E40:AI40">
    <cfRule type="containsText" dxfId="28" priority="7" stopIfTrue="1" operator="containsText" text="不成立">
      <formula>NOT(ISERROR(SEARCH("不成立",E40)))</formula>
    </cfRule>
    <cfRule type="containsText" dxfId="27" priority="6" stopIfTrue="1" operator="containsText" text="30分残業">
      <formula>NOT(ISERROR(SEARCH("30分残業",E40)))</formula>
    </cfRule>
  </conditionalFormatting>
  <conditionalFormatting sqref="E43:AI50">
    <cfRule type="cellIs" dxfId="26" priority="5" operator="equal">
      <formula>0</formula>
    </cfRule>
  </conditionalFormatting>
  <conditionalFormatting sqref="E52:AI52">
    <cfRule type="cellIs" dxfId="25" priority="4" operator="equal">
      <formula>0</formula>
    </cfRule>
    <cfRule type="containsText" dxfId="24" priority="3" stopIfTrue="1" operator="containsText" text="不成立">
      <formula>NOT(ISERROR(SEARCH("不成立",E52)))</formula>
    </cfRule>
    <cfRule type="containsText" dxfId="23" priority="2" operator="containsText" text="条件付">
      <formula>NOT(ISERROR(SEARCH("条件付",E52)))</formula>
    </cfRule>
  </conditionalFormatting>
  <conditionalFormatting sqref="F22:G22">
    <cfRule type="containsText" dxfId="22" priority="260" operator="containsText" text="E">
      <formula>NOT(ISERROR(SEARCH("E",F22)))</formula>
    </cfRule>
  </conditionalFormatting>
  <conditionalFormatting sqref="M22:N22">
    <cfRule type="containsText" dxfId="21" priority="259" operator="containsText" text="E">
      <formula>NOT(ISERROR(SEARCH("E",M22)))</formula>
    </cfRule>
  </conditionalFormatting>
  <conditionalFormatting sqref="M22:O22">
    <cfRule type="containsText" dxfId="20" priority="254" operator="containsText" text="E">
      <formula>NOT(ISERROR(SEARCH("E",M22)))</formula>
    </cfRule>
  </conditionalFormatting>
  <conditionalFormatting sqref="T22">
    <cfRule type="containsText" dxfId="19" priority="258" operator="containsText" text="E">
      <formula>NOT(ISERROR(SEARCH("E",T22)))</formula>
    </cfRule>
  </conditionalFormatting>
  <conditionalFormatting sqref="T22:W22">
    <cfRule type="containsText" dxfId="18" priority="253" operator="containsText" text="E">
      <formula>NOT(ISERROR(SEARCH("E",T22)))</formula>
    </cfRule>
  </conditionalFormatting>
  <conditionalFormatting sqref="AA22">
    <cfRule type="containsText" dxfId="17" priority="257" operator="containsText" text="E">
      <formula>NOT(ISERROR(SEARCH("E",AA22)))</formula>
    </cfRule>
  </conditionalFormatting>
  <conditionalFormatting sqref="AB22:AC22">
    <cfRule type="containsText" dxfId="16" priority="252" operator="containsText" text="E">
      <formula>NOT(ISERROR(SEARCH("E",AB22)))</formula>
    </cfRule>
  </conditionalFormatting>
  <conditionalFormatting sqref="AH22">
    <cfRule type="containsText" dxfId="15" priority="256" operator="containsText" text="E">
      <formula>NOT(ISERROR(SEARCH("E",AH22)))</formula>
    </cfRule>
  </conditionalFormatting>
  <conditionalFormatting sqref="AI11">
    <cfRule type="containsText" dxfId="14" priority="237" operator="containsText" text="F">
      <formula>NOT(ISERROR(SEARCH("F",AI11)))</formula>
    </cfRule>
    <cfRule type="containsText" dxfId="13" priority="250" operator="containsText" text="A">
      <formula>NOT(ISERROR(SEARCH("A",AI11)))</formula>
    </cfRule>
    <cfRule type="containsText" dxfId="12" priority="249" operator="containsText" text="B">
      <formula>NOT(ISERROR(SEARCH("B",AI11)))</formula>
    </cfRule>
    <cfRule type="containsText" dxfId="11" priority="248" operator="containsText" text="D">
      <formula>NOT(ISERROR(SEARCH("D",AI11)))</formula>
    </cfRule>
    <cfRule type="containsText" dxfId="10" priority="247" operator="containsText" text="C">
      <formula>NOT(ISERROR(SEARCH("C",AI11)))</formula>
    </cfRule>
    <cfRule type="containsText" dxfId="9" priority="246" operator="containsText" text="夜">
      <formula>NOT(ISERROR(SEARCH("夜",AI11)))</formula>
    </cfRule>
    <cfRule type="containsText" dxfId="8" priority="245" operator="containsText" text="明">
      <formula>NOT(ISERROR(SEARCH("明",AI11)))</formula>
    </cfRule>
    <cfRule type="containsText" dxfId="7" priority="244" operator="containsText" text="調">
      <formula>NOT(ISERROR(SEARCH("調",AI11)))</formula>
    </cfRule>
    <cfRule type="containsText" dxfId="6" priority="243" operator="containsText" text="有">
      <formula>NOT(ISERROR(SEARCH("有",AI11)))</formula>
    </cfRule>
    <cfRule type="containsText" dxfId="5" priority="242" operator="containsText" text="正">
      <formula>NOT(ISERROR(SEARCH("正",AI11)))</formula>
    </cfRule>
    <cfRule type="containsText" dxfId="4" priority="241" operator="containsText" text="休">
      <formula>NOT(ISERROR(SEARCH("休",AI11)))</formula>
    </cfRule>
    <cfRule type="containsText" dxfId="3" priority="240" operator="containsText" text="希">
      <formula>NOT(ISERROR(SEARCH("希",AI11)))</formula>
    </cfRule>
    <cfRule type="containsText" dxfId="2" priority="239" operator="containsText" text="研">
      <formula>NOT(ISERROR(SEARCH("研",AI11)))</formula>
    </cfRule>
    <cfRule type="containsText" dxfId="1" priority="238" operator="containsText" text="E">
      <formula>NOT(ISERROR(SEARCH("E",AI11)))</formula>
    </cfRule>
    <cfRule type="containsText" priority="236" operator="containsText" text="G">
      <formula>NOT(ISERROR(SEARCH("G",AI11)))</formula>
    </cfRule>
  </conditionalFormatting>
  <conditionalFormatting sqref="AY6:AY30">
    <cfRule type="containsText" dxfId="0" priority="1" operator="containsText" text="NG">
      <formula>NOT(ISERROR(SEARCH("NG",AY6)))</formula>
    </cfRule>
  </conditionalFormatting>
  <pageMargins left="0.7" right="0.7" top="0.75" bottom="0.75" header="0.3" footer="0.3"/>
  <pageSetup paperSize="9" orientation="portrait" horizontalDpi="0" verticalDpi="0"/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0A6829-BD81-EB45-9984-3D1D290464F4}">
          <x14:formula1>
            <xm:f>リスト表!$E$2:$E$5</xm:f>
          </x14:formula1>
          <xm:sqref>C6:C12 C14:C30</xm:sqref>
        </x14:dataValidation>
        <x14:dataValidation type="list" allowBlank="1" showInputMessage="1" showErrorMessage="1" xr:uid="{B6A07149-CBC7-3F40-B8A8-E516DE8E3856}">
          <x14:formula1>
            <xm:f>リスト表!$B$3:$B$6</xm:f>
          </x14:formula1>
          <xm:sqref>E22:AI22</xm:sqref>
        </x14:dataValidation>
        <x14:dataValidation type="list" allowBlank="1" showInputMessage="1" showErrorMessage="1" xr:uid="{D535543C-C30D-9646-8326-96843C0803CE}">
          <x14:formula1>
            <xm:f>リスト表!$A$2:$A$15</xm:f>
          </x14:formula1>
          <xm:sqref>E6:AI10 E11:AH11 E12:AI21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74BF2-8E35-8542-A585-284D18F30118}">
  <sheetPr codeName="Sheet3"/>
  <dimension ref="A1:E16"/>
  <sheetViews>
    <sheetView workbookViewId="0">
      <selection activeCell="D9" sqref="D9"/>
    </sheetView>
  </sheetViews>
  <sheetFormatPr baseColWidth="10" defaultColWidth="10.83203125" defaultRowHeight="14"/>
  <cols>
    <col min="2" max="2" width="14.5" customWidth="1"/>
  </cols>
  <sheetData>
    <row r="1" spans="1:5" ht="15" thickBot="1"/>
    <row r="2" spans="1:5" ht="26">
      <c r="A2" s="41" t="s">
        <v>14</v>
      </c>
      <c r="B2" s="40" t="s">
        <v>53</v>
      </c>
      <c r="C2" s="29" t="s">
        <v>17</v>
      </c>
      <c r="E2" t="s">
        <v>62</v>
      </c>
    </row>
    <row r="3" spans="1:5" ht="26">
      <c r="A3" s="49" t="s">
        <v>27</v>
      </c>
      <c r="B3" s="49" t="s">
        <v>74</v>
      </c>
      <c r="C3" s="31" t="s">
        <v>17</v>
      </c>
      <c r="E3" t="s">
        <v>63</v>
      </c>
    </row>
    <row r="4" spans="1:5" ht="26">
      <c r="A4" s="30" t="s">
        <v>24</v>
      </c>
      <c r="B4" s="37" t="s">
        <v>22</v>
      </c>
      <c r="C4" s="87" t="s">
        <v>17</v>
      </c>
      <c r="E4" t="s">
        <v>64</v>
      </c>
    </row>
    <row r="5" spans="1:5" ht="26">
      <c r="A5" s="40" t="s">
        <v>26</v>
      </c>
      <c r="B5" s="39" t="s">
        <v>25</v>
      </c>
      <c r="E5" t="s">
        <v>65</v>
      </c>
    </row>
    <row r="6" spans="1:5" ht="26">
      <c r="A6" s="40" t="s">
        <v>53</v>
      </c>
      <c r="B6" s="80" t="s">
        <v>48</v>
      </c>
    </row>
    <row r="7" spans="1:5" ht="26">
      <c r="A7" s="38" t="s">
        <v>0</v>
      </c>
      <c r="B7" s="54"/>
    </row>
    <row r="8" spans="1:5" ht="26">
      <c r="A8" s="38" t="s">
        <v>23</v>
      </c>
      <c r="B8" s="54"/>
    </row>
    <row r="9" spans="1:5" ht="26">
      <c r="A9" s="37" t="s">
        <v>22</v>
      </c>
      <c r="B9" s="54"/>
    </row>
    <row r="10" spans="1:5" ht="26">
      <c r="A10" s="39" t="s">
        <v>25</v>
      </c>
      <c r="B10" s="54"/>
    </row>
    <row r="11" spans="1:5" ht="26">
      <c r="A11" s="80" t="s">
        <v>48</v>
      </c>
      <c r="B11" s="54"/>
    </row>
    <row r="12" spans="1:5" ht="26">
      <c r="A12" s="86" t="s">
        <v>77</v>
      </c>
      <c r="B12" s="54"/>
    </row>
    <row r="13" spans="1:5" ht="27" thickBot="1">
      <c r="A13" s="86" t="s">
        <v>54</v>
      </c>
      <c r="B13" s="54"/>
    </row>
    <row r="14" spans="1:5" ht="24">
      <c r="A14" s="29" t="s">
        <v>80</v>
      </c>
      <c r="B14" s="54"/>
    </row>
    <row r="15" spans="1:5" ht="26">
      <c r="A15" s="31" t="s">
        <v>81</v>
      </c>
      <c r="B15" s="54"/>
    </row>
    <row r="16" spans="1:5" ht="19">
      <c r="B16" s="54"/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入力フォーム</vt:lpstr>
      <vt:lpstr>Sheet2</vt:lpstr>
      <vt:lpstr>予定2対応</vt:lpstr>
      <vt:lpstr>結果1</vt:lpstr>
      <vt:lpstr>結果2</vt:lpstr>
      <vt:lpstr>リスト表</vt:lpstr>
      <vt:lpstr>入力フォーム!Print_Area</vt:lpstr>
      <vt:lpstr>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FJ-USER</dc:creator>
  <cp:lastModifiedBy>赤瀬文成</cp:lastModifiedBy>
  <cp:lastPrinted>2026-01-29T12:16:57Z</cp:lastPrinted>
  <dcterms:created xsi:type="dcterms:W3CDTF">2014-12-09T06:54:12Z</dcterms:created>
  <dcterms:modified xsi:type="dcterms:W3CDTF">2026-04-21T08:03:49Z</dcterms:modified>
</cp:coreProperties>
</file>