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14400" windowHeight="16120" tabRatio="600" firstSheet="0" activeTab="0" autoFilterDateGrouping="1"/>
  </bookViews>
  <sheets>
    <sheet xmlns:r="http://schemas.openxmlformats.org/officeDocument/2006/relationships" name="入力フォーム" sheetId="1" state="visible" r:id="rId1"/>
    <sheet xmlns:r="http://schemas.openxmlformats.org/officeDocument/2006/relationships" name="Sheet2" sheetId="2" state="hidden" r:id="rId2"/>
    <sheet xmlns:r="http://schemas.openxmlformats.org/officeDocument/2006/relationships" name="予定2対応" sheetId="3" state="visible" r:id="rId3"/>
    <sheet xmlns:r="http://schemas.openxmlformats.org/officeDocument/2006/relationships" name="結果1" sheetId="4" state="visible" r:id="rId4"/>
    <sheet xmlns:r="http://schemas.openxmlformats.org/officeDocument/2006/relationships" name="結果2" sheetId="5" state="visible" r:id="rId5"/>
    <sheet xmlns:r="http://schemas.openxmlformats.org/officeDocument/2006/relationships" name="リスト表" sheetId="6" state="visible" r:id="rId6"/>
  </sheets>
  <definedNames>
    <definedName name="希">入力フォーム!$H$7</definedName>
    <definedName name="_xlnm.Print_Area" localSheetId="0">'入力フォーム'!$B$2:$AK$25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"/>
    <numFmt numFmtId="165" formatCode="m&quot;月&quot;d&quot;日&quot;;@"/>
  </numFmts>
  <fonts count="105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AR P丸ゴシック体M"/>
      <charset val="128"/>
      <family val="3"/>
      <color theme="1"/>
      <sz val="11"/>
    </font>
    <font>
      <name val="HGS創英ﾌﾟﾚｾﾞﾝｽEB"/>
      <charset val="128"/>
      <family val="1"/>
      <b val="1"/>
      <color theme="1"/>
      <sz val="16"/>
    </font>
    <font>
      <name val="HGS創英ﾌﾟﾚｾﾞﾝｽEB"/>
      <charset val="128"/>
      <family val="1"/>
      <color theme="1"/>
      <sz val="16"/>
    </font>
    <font>
      <name val="HGP創英ﾌﾟﾚｾﾞﾝｽEB"/>
      <charset val="128"/>
      <family val="1"/>
      <color theme="1"/>
      <sz val="11"/>
    </font>
    <font>
      <name val="HGS創英ﾌﾟﾚｾﾞﾝｽEB"/>
      <charset val="128"/>
      <family val="1"/>
      <color theme="1"/>
      <sz val="11"/>
    </font>
    <font>
      <name val="HGS創英ﾌﾟﾚｾﾞﾝｽEB"/>
      <charset val="128"/>
      <family val="1"/>
      <color theme="0"/>
      <sz val="16"/>
    </font>
    <font>
      <name val="HGS創英ﾌﾟﾚｾﾞﾝｽEB"/>
      <charset val="128"/>
      <family val="1"/>
      <color rgb="FFFF0000"/>
      <sz val="16"/>
    </font>
    <font>
      <name val="HGS創英ﾌﾟﾚｾﾞﾝｽEB"/>
      <charset val="128"/>
      <family val="1"/>
      <color theme="1"/>
      <sz val="20"/>
    </font>
    <font>
      <name val="HGS創英ﾌﾟﾚｾﾞﾝｽEB"/>
      <charset val="128"/>
      <family val="1"/>
      <sz val="16"/>
    </font>
    <font>
      <name val="HGS創英ﾌﾟﾚｾﾞﾝｽEB"/>
      <charset val="128"/>
      <family val="1"/>
      <color theme="1"/>
      <sz val="22"/>
    </font>
    <font>
      <name val="HGS創英ﾌﾟﾚｾﾞﾝｽEB"/>
      <charset val="128"/>
      <family val="1"/>
      <color theme="1"/>
      <sz val="18"/>
    </font>
    <font>
      <name val="HGS創英ﾌﾟﾚｾﾞﾝｽEB"/>
      <charset val="128"/>
      <family val="1"/>
      <color theme="0"/>
      <sz val="18"/>
    </font>
    <font>
      <name val="HGS創英ﾌﾟﾚｾﾞﾝｽEB"/>
      <charset val="128"/>
      <family val="1"/>
      <color theme="0"/>
      <sz val="20"/>
    </font>
    <font>
      <name val="HGS創英ﾌﾟﾚｾﾞﾝｽEB"/>
      <charset val="128"/>
      <family val="1"/>
      <color rgb="FF000000"/>
      <sz val="16"/>
    </font>
    <font>
      <name val="HGS創英ﾌﾟﾚｾﾞﾝｽEB"/>
      <charset val="128"/>
      <family val="1"/>
      <color theme="1"/>
      <sz val="14"/>
    </font>
    <font>
      <name val="HGS創英ﾌﾟﾚｾﾞﾝｽEB"/>
      <charset val="128"/>
      <family val="1"/>
      <b val="1"/>
      <color theme="1"/>
      <sz val="14"/>
      <u val="single"/>
    </font>
    <font>
      <name val="HGS創英ﾌﾟﾚｾﾞﾝｽEB"/>
      <charset val="128"/>
      <family val="1"/>
      <b val="1"/>
      <color theme="1"/>
      <sz val="14"/>
    </font>
    <font>
      <name val="HGP創英ﾌﾟﾚｾﾞﾝｽEB"/>
      <charset val="128"/>
      <family val="1"/>
      <color theme="1"/>
      <sz val="20"/>
    </font>
    <font>
      <name val="HGS創英ﾌﾟﾚｾﾞﾝｽEB"/>
      <charset val="128"/>
      <family val="1"/>
      <color theme="0"/>
      <sz val="22"/>
    </font>
    <font>
      <name val="HGS創英ﾌﾟﾚｾﾞﾝｽEB"/>
      <charset val="128"/>
      <family val="1"/>
      <color rgb="FF000000"/>
      <sz val="22"/>
    </font>
    <font>
      <name val="HGS創英ﾌﾟﾚｾﾞﾝｽEB"/>
      <charset val="128"/>
      <family val="1"/>
      <color rgb="FF000000"/>
      <sz val="20"/>
    </font>
    <font>
      <name val="HGS創英ﾌﾟﾚｾﾞﾝｽEB"/>
      <charset val="128"/>
      <family val="1"/>
      <color rgb="FFFF0000"/>
      <sz val="22"/>
    </font>
    <font>
      <name val="HGP創英ﾌﾟﾚｾﾞﾝｽEB"/>
      <charset val="128"/>
      <family val="1"/>
      <color theme="1"/>
      <sz val="14"/>
    </font>
    <font>
      <name val="Meiryo"/>
      <charset val="128"/>
      <family val="2"/>
      <sz val="6"/>
    </font>
    <font>
      <name val="HG創英角ｺﾞｼｯｸUB"/>
      <charset val="128"/>
      <family val="2"/>
      <color theme="1"/>
      <sz val="11"/>
    </font>
    <font>
      <name val="ヒラギノ明朝 Pro W3"/>
      <charset val="128"/>
      <family val="3"/>
      <sz val="14"/>
    </font>
    <font>
      <name val="ヒラギノ明朝 Pro W3"/>
      <charset val="128"/>
      <color theme="1"/>
      <sz val="14"/>
    </font>
    <font>
      <name val="ヒラギノ明朝 Pro W3"/>
      <charset val="128"/>
      <color theme="1"/>
      <sz val="11"/>
    </font>
    <font>
      <name val="HGS創英ﾌﾟﾚｾﾞﾝｽEB"/>
      <charset val="128"/>
      <family val="1"/>
      <b val="1"/>
      <color theme="1"/>
      <sz val="20"/>
    </font>
    <font>
      <name val="ＭＳ Ｐゴシック"/>
      <charset val="128"/>
      <family val="2"/>
      <b val="1"/>
      <color theme="1"/>
      <sz val="20"/>
      <scheme val="minor"/>
    </font>
    <font>
      <name val="HGS創英ﾌﾟﾚｾﾞﾝｽEB"/>
      <charset val="128"/>
      <family val="1"/>
      <color rgb="FF000000"/>
      <sz val="22"/>
    </font>
    <font>
      <name val="HGS創英ﾌﾟﾚｾﾞﾝｽEB"/>
      <charset val="128"/>
      <family val="1"/>
      <sz val="22"/>
    </font>
    <font>
      <name val="HGS創英ﾌﾟﾚｾﾞﾝｽEB"/>
      <charset val="128"/>
      <family val="1"/>
      <color rgb="FFFF0000"/>
      <sz val="22"/>
    </font>
    <font>
      <name val="HGS創英ﾌﾟﾚｾﾞﾝｽEB"/>
      <charset val="128"/>
      <family val="1"/>
      <b val="1"/>
      <color theme="1"/>
      <sz val="20"/>
    </font>
    <font>
      <name val="HGS創英ﾌﾟﾚｾﾞﾝｽEB"/>
      <charset val="128"/>
      <family val="1"/>
      <b val="1"/>
      <color theme="1"/>
      <sz val="18"/>
    </font>
    <font>
      <name val="ＭＳ Ｐゴシック"/>
      <charset val="128"/>
      <family val="2"/>
      <b val="1"/>
      <color theme="1"/>
      <sz val="18"/>
      <scheme val="minor"/>
    </font>
    <font>
      <name val="HGP創英ﾌﾟﾚｾﾞﾝｽEB"/>
      <charset val="128"/>
      <family val="1"/>
      <b val="1"/>
      <color theme="1"/>
      <sz val="18"/>
    </font>
    <font>
      <name val="Yu Gothic UI"/>
      <charset val="128"/>
      <family val="3"/>
      <b val="1"/>
      <color rgb="FF000000"/>
      <sz val="10"/>
    </font>
    <font>
      <name val="Yu Gothic UI"/>
      <charset val="128"/>
      <family val="3"/>
      <color rgb="FF000000"/>
      <sz val="10"/>
    </font>
    <font>
      <name val="HGS創英ﾌﾟﾚｾﾞﾝｽEB"/>
      <charset val="128"/>
      <family val="1"/>
      <color theme="1"/>
      <sz val="22"/>
    </font>
    <font>
      <name val="HGS創英ﾌﾟﾚｾﾞﾝｽEB"/>
      <charset val="128"/>
      <family val="1"/>
      <sz val="22"/>
      <u val="single"/>
    </font>
    <font>
      <name val="HGS創英ﾌﾟﾚｾﾞﾝｽEB"/>
      <charset val="128"/>
      <family val="1"/>
      <color rgb="FFFF0000"/>
      <sz val="22"/>
      <u val="single"/>
    </font>
    <font>
      <name val="HGS創英ﾌﾟﾚｾﾞﾝｽEB"/>
      <charset val="128"/>
      <family val="1"/>
      <b val="1"/>
      <sz val="16"/>
    </font>
    <font>
      <name val="HGS創英ﾌﾟﾚｾﾞﾝｽEB"/>
      <charset val="128"/>
      <family val="1"/>
      <color theme="1"/>
      <sz val="22"/>
      <u val="single"/>
    </font>
    <font>
      <name val="HGS創英ﾌﾟﾚｾﾞﾝｽEB"/>
      <charset val="128"/>
      <family val="1"/>
      <color rgb="FFFF0000"/>
      <sz val="20"/>
      <u val="single"/>
    </font>
    <font>
      <name val="AR P丸ゴシック体M"/>
      <charset val="128"/>
      <family val="3"/>
      <color rgb="FFFF0000"/>
      <sz val="16"/>
    </font>
    <font>
      <name val="メイリオ"/>
      <charset val="128"/>
      <family val="2"/>
      <color theme="1"/>
      <sz val="11"/>
    </font>
    <font>
      <name val="ヒラギノ明朝 Pro W3"/>
      <charset val="128"/>
      <color theme="1"/>
      <sz val="10"/>
    </font>
    <font>
      <name val="ヒラギノ明朝 Pro W3"/>
      <charset val="128"/>
      <sz val="14"/>
    </font>
    <font>
      <name val="HGS創英ﾌﾟﾚｾﾞﾝｽEB"/>
      <charset val="128"/>
      <family val="1"/>
      <color theme="0"/>
      <sz val="6"/>
    </font>
    <font>
      <name val="ヒラギノ角ゴシック W4"/>
      <charset val="128"/>
      <family val="2"/>
      <color theme="1"/>
      <sz val="11"/>
    </font>
    <font>
      <name val="ヒラギノ角ゴシック W4"/>
      <charset val="128"/>
      <family val="2"/>
      <b val="1"/>
      <color theme="1"/>
      <sz val="20"/>
    </font>
    <font>
      <name val="ヒラギノ角ゴシック W4"/>
      <charset val="128"/>
      <family val="2"/>
      <b val="1"/>
      <color theme="1"/>
      <sz val="10"/>
    </font>
    <font>
      <name val="ヒラギノ角ゴシック W4"/>
      <charset val="128"/>
      <family val="2"/>
      <b val="1"/>
      <color theme="1"/>
      <sz val="9"/>
    </font>
    <font>
      <name val="ヒラギノ角ゴシック W4"/>
      <charset val="128"/>
      <family val="2"/>
      <color theme="0"/>
      <sz val="16"/>
    </font>
    <font>
      <name val="ヒラギノ角ゴシック W4"/>
      <charset val="128"/>
      <family val="2"/>
      <color rgb="FFFF0000"/>
      <sz val="16"/>
    </font>
    <font>
      <name val="ヒラギノ角ゴシック W4"/>
      <charset val="128"/>
      <family val="2"/>
      <color theme="1"/>
      <sz val="16"/>
    </font>
    <font>
      <name val="ヒラギノ角ゴシック W4"/>
      <charset val="128"/>
      <family val="2"/>
      <color theme="1"/>
      <sz val="20"/>
    </font>
    <font>
      <name val="ヒラギノ角ゴシック W4"/>
      <charset val="128"/>
      <family val="2"/>
      <color theme="1"/>
      <sz val="22"/>
    </font>
    <font>
      <name val="ヒラギノ角ゴシック W4"/>
      <charset val="128"/>
      <family val="2"/>
      <b val="1"/>
      <color theme="1"/>
      <sz val="16"/>
    </font>
    <font>
      <name val="ヒラギノ角ゴシック W4"/>
      <charset val="128"/>
      <family val="2"/>
      <sz val="16"/>
    </font>
    <font>
      <name val="ヒラギノ角ゴシック W4"/>
      <charset val="128"/>
      <family val="2"/>
      <color theme="1"/>
      <sz val="14"/>
    </font>
    <font>
      <name val="ヒラギノ角ゴシック W4"/>
      <charset val="128"/>
      <family val="2"/>
      <sz val="22"/>
    </font>
    <font>
      <name val="ヒラギノ角ゴシック W4"/>
      <charset val="128"/>
      <family val="2"/>
      <sz val="22"/>
      <u val="single"/>
    </font>
    <font>
      <name val="ヒラギノ角ゴシック W4"/>
      <charset val="128"/>
      <family val="2"/>
      <color rgb="FFFF0000"/>
      <sz val="22"/>
      <u val="single"/>
    </font>
    <font>
      <name val="ヒラギノ角ゴシック W4"/>
      <charset val="128"/>
      <family val="2"/>
      <color rgb="FFFF0000"/>
      <sz val="22"/>
    </font>
    <font>
      <name val="ヒラギノ角ゴシック W4"/>
      <charset val="128"/>
      <family val="2"/>
      <color theme="0"/>
      <sz val="22"/>
    </font>
    <font>
      <name val="ヒラギノ角ゴシック W4"/>
      <charset val="128"/>
      <family val="2"/>
      <color theme="0"/>
      <sz val="20"/>
    </font>
    <font>
      <name val="ヒラギノ角ゴシック W4"/>
      <charset val="128"/>
      <family val="2"/>
      <color rgb="FF000000"/>
      <sz val="22"/>
    </font>
    <font>
      <name val="ヒラギノ角ゴシック W4"/>
      <charset val="128"/>
      <family val="2"/>
      <color rgb="FF000000"/>
      <sz val="16"/>
    </font>
    <font>
      <name val="ヒラギノ角ゴシック W4"/>
      <charset val="128"/>
      <family val="2"/>
      <color rgb="FF000000"/>
      <sz val="20"/>
    </font>
    <font>
      <name val="ヒラギノ角ゴシック W4"/>
      <charset val="128"/>
      <family val="2"/>
      <color theme="1"/>
      <sz val="22"/>
      <u val="single"/>
    </font>
    <font>
      <name val="ヒラギノ角ゴシック W4"/>
      <charset val="128"/>
      <family val="2"/>
      <b val="1"/>
      <color theme="1"/>
      <sz val="14"/>
    </font>
    <font>
      <name val="ヒラギノ角ゴシック W4"/>
      <charset val="128"/>
      <family val="2"/>
      <b val="1"/>
      <sz val="14"/>
    </font>
    <font>
      <name val="ヒラギノ角ゴシック W4"/>
      <charset val="128"/>
      <family val="2"/>
      <color theme="1"/>
      <sz val="18"/>
    </font>
    <font>
      <name val="ヒラギノ角ゴシック W4"/>
      <charset val="128"/>
      <family val="2"/>
      <color theme="0"/>
      <sz val="18"/>
    </font>
    <font>
      <name val="ヒラギノ角ゴシック W4"/>
      <charset val="128"/>
      <family val="2"/>
      <b val="1"/>
      <color theme="1"/>
      <sz val="14"/>
      <u val="single"/>
    </font>
    <font>
      <name val="ヒラギノ角ゴシック W4"/>
      <charset val="128"/>
      <family val="2"/>
      <b val="1"/>
      <color theme="1"/>
      <sz val="18"/>
    </font>
    <font>
      <name val="ヒラギノ角ゴシック W4"/>
      <charset val="128"/>
      <family val="2"/>
      <sz val="14"/>
    </font>
    <font>
      <name val="ヒラギノ角ゴシック W4"/>
      <charset val="128"/>
      <family val="2"/>
      <color theme="1"/>
      <sz val="10"/>
    </font>
    <font>
      <name val="ヒラギノ角ゴシック W4"/>
      <charset val="128"/>
      <family val="2"/>
      <sz val="12"/>
    </font>
    <font>
      <name val="ヒラギノ角ゴシック W4"/>
      <charset val="128"/>
      <family val="2"/>
      <color theme="1"/>
      <sz val="12"/>
    </font>
    <font>
      <name val="ヒラギノ角ゴシック W4"/>
      <charset val="128"/>
      <family val="2"/>
      <b val="1"/>
      <color theme="1"/>
      <sz val="12"/>
    </font>
    <font>
      <name val="ヒラギノ角ゴシック W4"/>
      <charset val="128"/>
      <family val="2"/>
      <color rgb="FFFF0000"/>
      <sz val="18"/>
    </font>
    <font>
      <name val="Yu Gothic UI"/>
      <b val="1"/>
      <color rgb="FF000000"/>
      <sz val="10"/>
    </font>
    <font>
      <name val="BIZ UDP明朝 Medium"/>
      <charset val="128"/>
      <family val="1"/>
      <color theme="1"/>
      <sz val="22"/>
    </font>
    <font>
      <name val="BIZ UDP明朝 Medium"/>
      <charset val="128"/>
      <family val="1"/>
      <sz val="22"/>
    </font>
    <font>
      <name val="BIZ UDP明朝 Medium"/>
      <charset val="128"/>
      <family val="1"/>
      <color theme="0"/>
      <sz val="22"/>
    </font>
    <font>
      <name val="ＭＳ Ｐ明朝"/>
      <charset val="128"/>
      <family val="1"/>
      <color theme="0"/>
      <sz val="22"/>
    </font>
    <font>
      <name val="BIZ UDP明朝 Medium"/>
      <charset val="128"/>
      <family val="1"/>
      <color rgb="FFFF0000"/>
      <sz val="22"/>
    </font>
    <font>
      <name val="メイリオ"/>
      <charset val="128"/>
      <family val="2"/>
      <color theme="1"/>
      <sz val="10"/>
    </font>
    <font>
      <name val="メイリオ"/>
      <charset val="128"/>
      <family val="2"/>
      <sz val="10"/>
    </font>
    <font>
      <name val="ＭＳ Ｐゴシック"/>
      <charset val="128"/>
      <family val="2"/>
      <color theme="1"/>
      <sz val="16"/>
      <scheme val="minor"/>
    </font>
    <font>
      <name val="メイリオ"/>
      <charset val="128"/>
      <family val="2"/>
      <color theme="1"/>
      <sz val="16"/>
    </font>
    <font>
      <name val="メイリオ"/>
      <charset val="128"/>
      <family val="2"/>
      <color theme="1"/>
      <sz val="18"/>
    </font>
    <font>
      <name val="BIZ UDMincho"/>
      <charset val="128"/>
      <family val="1"/>
      <sz val="22"/>
    </font>
    <font>
      <name val="BIZ UDMincho"/>
      <charset val="128"/>
      <family val="1"/>
      <color rgb="FFFF0000"/>
      <sz val="22"/>
      <u val="single"/>
    </font>
    <font>
      <name val="BIZ UDMincho"/>
      <charset val="128"/>
      <family val="1"/>
      <sz val="22"/>
      <u val="single"/>
    </font>
    <font>
      <name val="BIZ UDMincho"/>
      <charset val="128"/>
      <family val="1"/>
      <color theme="0"/>
      <sz val="22"/>
    </font>
    <font>
      <name val="BIZ UDMincho"/>
      <charset val="128"/>
      <family val="1"/>
      <color rgb="FFFF0000"/>
      <sz val="22"/>
    </font>
    <font>
      <name val="BIZ UDMincho"/>
      <charset val="128"/>
      <family val="1"/>
      <color theme="1"/>
      <sz val="22"/>
    </font>
    <font>
      <name val="ヒラギノ角ゴシック W4"/>
      <charset val="128"/>
      <family val="2"/>
      <color rgb="FFFF0000"/>
      <sz val="14"/>
    </font>
    <font>
      <name val="Yu Gothic UI"/>
      <color rgb="FF000000"/>
      <sz val="10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234FF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9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2" borderId="1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vertical="top"/>
    </xf>
    <xf numFmtId="0" fontId="4" fillId="2" borderId="1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6" fillId="0" borderId="16" applyAlignment="1" pivotButton="0" quotePrefix="0" xfId="0">
      <alignment vertical="center"/>
    </xf>
    <xf numFmtId="0" fontId="4" fillId="6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/>
    </xf>
    <xf numFmtId="0" fontId="12" fillId="0" borderId="3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4" fillId="9" borderId="10" applyAlignment="1" pivotButton="0" quotePrefix="0" xfId="0">
      <alignment horizontal="center" vertical="center"/>
    </xf>
    <xf numFmtId="0" fontId="20" fillId="9" borderId="3" applyAlignment="1" pivotButton="0" quotePrefix="0" xfId="0">
      <alignment horizontal="center" vertical="center"/>
    </xf>
    <xf numFmtId="0" fontId="20" fillId="10" borderId="3" applyAlignment="1" pivotButton="0" quotePrefix="0" xfId="0">
      <alignment horizontal="center" vertical="center"/>
    </xf>
    <xf numFmtId="0" fontId="21" fillId="2" borderId="15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2" fillId="2" borderId="18" applyAlignment="1" pivotButton="0" quotePrefix="0" xfId="0">
      <alignment horizontal="center" vertical="center"/>
    </xf>
    <xf numFmtId="0" fontId="22" fillId="2" borderId="6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1" fillId="4" borderId="3" applyAlignment="1" pivotButton="0" quotePrefix="0" xfId="0">
      <alignment horizontal="center" vertical="center"/>
    </xf>
    <xf numFmtId="0" fontId="21" fillId="5" borderId="3" applyAlignment="1" pivotButton="0" quotePrefix="0" xfId="0">
      <alignment horizontal="center" vertical="center"/>
    </xf>
    <xf numFmtId="0" fontId="21" fillId="11" borderId="3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0" fontId="4" fillId="2" borderId="29" applyAlignment="1" pivotButton="0" quotePrefix="0" xfId="0">
      <alignment vertical="center"/>
    </xf>
    <xf numFmtId="0" fontId="10" fillId="2" borderId="29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15" fillId="0" borderId="31" applyAlignment="1" pivotButton="0" quotePrefix="0" xfId="0">
      <alignment vertical="center"/>
    </xf>
    <xf numFmtId="0" fontId="21" fillId="11" borderId="34" applyAlignment="1" pivotButton="0" quotePrefix="0" xfId="0">
      <alignment horizontal="center" vertical="center"/>
    </xf>
    <xf numFmtId="0" fontId="24" fillId="0" borderId="33" applyAlignment="1" pivotButton="0" quotePrefix="0" xfId="0">
      <alignment vertical="center"/>
    </xf>
    <xf numFmtId="0" fontId="16" fillId="0" borderId="32" applyAlignment="1" pivotButton="0" quotePrefix="0" xfId="0">
      <alignment vertical="center"/>
    </xf>
    <xf numFmtId="0" fontId="24" fillId="0" borderId="35" applyAlignment="1" pivotButton="0" quotePrefix="0" xfId="0">
      <alignment vertical="center"/>
    </xf>
    <xf numFmtId="0" fontId="16" fillId="0" borderId="3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20" fontId="18" fillId="2" borderId="0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14" fillId="9" borderId="3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33" fillId="0" borderId="1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0" fontId="33" fillId="0" borderId="3" applyAlignment="1" pivotButton="0" quotePrefix="0" xfId="0">
      <alignment horizontal="center" vertical="center"/>
    </xf>
    <xf numFmtId="0" fontId="33" fillId="0" borderId="23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0" fontId="33" fillId="0" borderId="8" applyAlignment="1" pivotButton="0" quotePrefix="0" xfId="0">
      <alignment vertical="center"/>
    </xf>
    <xf numFmtId="0" fontId="32" fillId="2" borderId="8" applyAlignment="1" pivotButton="0" quotePrefix="0" xfId="0">
      <alignment horizontal="center" vertical="center"/>
    </xf>
    <xf numFmtId="0" fontId="32" fillId="2" borderId="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35" fillId="0" borderId="21" applyAlignment="1" pivotButton="0" quotePrefix="0" xfId="0">
      <alignment horizontal="center" vertical="center"/>
    </xf>
    <xf numFmtId="0" fontId="13" fillId="12" borderId="3" applyAlignment="1" pivotButton="0" quotePrefix="0" xfId="0">
      <alignment horizontal="center" vertical="center"/>
    </xf>
    <xf numFmtId="0" fontId="21" fillId="5" borderId="37" applyAlignment="1" pivotButton="0" quotePrefix="0" xfId="0">
      <alignment horizontal="center" vertical="center"/>
    </xf>
    <xf numFmtId="0" fontId="35" fillId="0" borderId="1" applyAlignment="1" pivotButton="0" quotePrefix="0" xfId="0">
      <alignment vertical="center"/>
    </xf>
    <xf numFmtId="164" fontId="3" fillId="2" borderId="1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/>
    </xf>
    <xf numFmtId="0" fontId="21" fillId="13" borderId="37" applyAlignment="1" pivotButton="0" quotePrefix="0" xfId="0">
      <alignment horizontal="center" vertical="center"/>
    </xf>
    <xf numFmtId="0" fontId="20" fillId="7" borderId="3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24" fillId="0" borderId="34" applyAlignment="1" pivotButton="0" quotePrefix="0" xfId="0">
      <alignment vertical="center"/>
    </xf>
    <xf numFmtId="0" fontId="10" fillId="0" borderId="29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1" fillId="0" borderId="3" applyAlignment="1" pivotButton="0" quotePrefix="0" xfId="0">
      <alignment horizontal="center" vertical="center"/>
    </xf>
    <xf numFmtId="0" fontId="42" fillId="0" borderId="3" applyAlignment="1" pivotButton="0" quotePrefix="0" xfId="0">
      <alignment horizontal="center" vertical="center"/>
    </xf>
    <xf numFmtId="0" fontId="43" fillId="0" borderId="3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0" fontId="43" fillId="0" borderId="34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44" fillId="0" borderId="4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/>
    </xf>
    <xf numFmtId="0" fontId="45" fillId="0" borderId="3" applyAlignment="1" pivotButton="0" quotePrefix="0" xfId="0">
      <alignment horizontal="center" vertical="center"/>
    </xf>
    <xf numFmtId="0" fontId="41" fillId="0" borderId="3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vertical="center"/>
    </xf>
    <xf numFmtId="0" fontId="33" fillId="0" borderId="24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0" fontId="24" fillId="0" borderId="41" applyAlignment="1" pivotButton="0" quotePrefix="0" xfId="0">
      <alignment vertical="center"/>
    </xf>
    <xf numFmtId="0" fontId="24" fillId="0" borderId="36" applyAlignment="1" pivotButton="0" quotePrefix="0" xfId="0">
      <alignment vertical="center"/>
    </xf>
    <xf numFmtId="0" fontId="16" fillId="0" borderId="41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24" fillId="0" borderId="19" applyAlignment="1" pivotButton="0" quotePrefix="0" xfId="0">
      <alignment vertical="center"/>
    </xf>
    <xf numFmtId="0" fontId="4" fillId="0" borderId="42" applyAlignment="1" pivotButton="0" quotePrefix="0" xfId="0">
      <alignment vertical="center"/>
    </xf>
    <xf numFmtId="0" fontId="33" fillId="0" borderId="43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46" fillId="2" borderId="3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164" fontId="44" fillId="0" borderId="7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43" fillId="0" borderId="2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6" fillId="0" borderId="51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 wrapText="1"/>
    </xf>
    <xf numFmtId="0" fontId="55" fillId="0" borderId="0" applyAlignment="1" pivotButton="0" quotePrefix="0" xfId="0">
      <alignment vertical="center" wrapText="1"/>
    </xf>
    <xf numFmtId="0" fontId="52" fillId="0" borderId="0" applyAlignment="1" pivotButton="0" quotePrefix="0" xfId="0">
      <alignment horizontal="center" vertical="center"/>
    </xf>
    <xf numFmtId="0" fontId="56" fillId="2" borderId="1" applyAlignment="1" pivotButton="0" quotePrefix="0" xfId="0">
      <alignment vertical="center"/>
    </xf>
    <xf numFmtId="0" fontId="57" fillId="2" borderId="1" applyAlignment="1" pivotButton="0" quotePrefix="0" xfId="0">
      <alignment vertical="top"/>
    </xf>
    <xf numFmtId="0" fontId="58" fillId="2" borderId="1" applyAlignment="1" pivotButton="0" quotePrefix="0" xfId="0">
      <alignment vertical="center"/>
    </xf>
    <xf numFmtId="0" fontId="59" fillId="2" borderId="1" applyAlignment="1" pivotButton="0" quotePrefix="0" xfId="0">
      <alignment vertical="center"/>
    </xf>
    <xf numFmtId="0" fontId="59" fillId="0" borderId="1" applyAlignment="1" pivotButton="0" quotePrefix="0" xfId="0">
      <alignment vertical="center"/>
    </xf>
    <xf numFmtId="0" fontId="55" fillId="0" borderId="1" applyAlignment="1" pivotButton="0" quotePrefix="0" xfId="0">
      <alignment vertical="center" wrapText="1"/>
    </xf>
    <xf numFmtId="0" fontId="52" fillId="0" borderId="1" applyAlignment="1" pivotButton="0" quotePrefix="0" xfId="0">
      <alignment vertical="center"/>
    </xf>
    <xf numFmtId="0" fontId="58" fillId="2" borderId="11" applyAlignment="1" pivotButton="0" quotePrefix="0" xfId="0">
      <alignment horizontal="center" vertical="center"/>
    </xf>
    <xf numFmtId="0" fontId="62" fillId="0" borderId="22" applyAlignment="1" pivotButton="0" quotePrefix="0" xfId="0">
      <alignment horizontal="center" vertical="center"/>
    </xf>
    <xf numFmtId="0" fontId="58" fillId="0" borderId="11" applyAlignment="1" pivotButton="0" quotePrefix="0" xfId="0">
      <alignment horizontal="center" vertical="center"/>
    </xf>
    <xf numFmtId="0" fontId="58" fillId="8" borderId="11" applyAlignment="1" pivotButton="0" quotePrefix="0" xfId="0">
      <alignment horizontal="center" vertical="center"/>
    </xf>
    <xf numFmtId="0" fontId="58" fillId="2" borderId="50" applyAlignment="1" pivotButton="0" quotePrefix="0" xfId="0">
      <alignment horizontal="center" vertical="center"/>
    </xf>
    <xf numFmtId="0" fontId="58" fillId="0" borderId="47" applyAlignment="1" pivotButton="0" quotePrefix="0" xfId="0">
      <alignment horizontal="center" vertical="center"/>
    </xf>
    <xf numFmtId="0" fontId="63" fillId="0" borderId="33" applyAlignment="1" pivotButton="0" quotePrefix="0" xfId="0">
      <alignment vertical="center"/>
    </xf>
    <xf numFmtId="0" fontId="58" fillId="0" borderId="30" applyAlignment="1" pivotButton="0" quotePrefix="0" xfId="0">
      <alignment vertical="center"/>
    </xf>
    <xf numFmtId="0" fontId="64" fillId="2" borderId="3" applyAlignment="1" pivotButton="0" quotePrefix="0" xfId="0">
      <alignment horizontal="center" vertical="center"/>
    </xf>
    <xf numFmtId="0" fontId="64" fillId="2" borderId="17" applyAlignment="1" pivotButton="0" quotePrefix="0" xfId="0">
      <alignment horizontal="center" vertical="center"/>
    </xf>
    <xf numFmtId="0" fontId="63" fillId="0" borderId="34" applyAlignment="1" pivotButton="0" quotePrefix="0" xfId="0">
      <alignment vertical="center"/>
    </xf>
    <xf numFmtId="0" fontId="58" fillId="0" borderId="29" applyAlignment="1" pivotButton="0" quotePrefix="0" xfId="0">
      <alignment vertical="center"/>
    </xf>
    <xf numFmtId="0" fontId="64" fillId="2" borderId="8" applyAlignment="1" pivotButton="0" quotePrefix="0" xfId="0">
      <alignment horizontal="center" vertical="center"/>
    </xf>
    <xf numFmtId="0" fontId="64" fillId="2" borderId="23" applyAlignment="1" pivotButton="0" quotePrefix="0" xfId="0">
      <alignment horizontal="center" vertical="center"/>
    </xf>
    <xf numFmtId="0" fontId="66" fillId="2" borderId="3" applyAlignment="1" pivotButton="0" quotePrefix="0" xfId="0">
      <alignment horizontal="center" vertical="center"/>
    </xf>
    <xf numFmtId="0" fontId="60" fillId="2" borderId="8" applyAlignment="1" pivotButton="0" quotePrefix="0" xfId="0">
      <alignment horizontal="center" vertical="center"/>
    </xf>
    <xf numFmtId="0" fontId="65" fillId="2" borderId="3" applyAlignment="1" pivotButton="0" quotePrefix="0" xfId="0">
      <alignment horizontal="center" vertical="center"/>
    </xf>
    <xf numFmtId="0" fontId="65" fillId="2" borderId="8" applyAlignment="1" pivotButton="0" quotePrefix="0" xfId="0">
      <alignment horizontal="center" vertical="center"/>
    </xf>
    <xf numFmtId="0" fontId="62" fillId="0" borderId="29" applyAlignment="1" pivotButton="0" quotePrefix="0" xfId="0">
      <alignment vertical="center"/>
    </xf>
    <xf numFmtId="0" fontId="67" fillId="2" borderId="3" applyAlignment="1" pivotButton="0" quotePrefix="0" xfId="0">
      <alignment horizontal="center" vertical="center"/>
    </xf>
    <xf numFmtId="0" fontId="63" fillId="0" borderId="35" applyAlignment="1" pivotButton="0" quotePrefix="0" xfId="0">
      <alignment vertical="center"/>
    </xf>
    <xf numFmtId="0" fontId="58" fillId="2" borderId="29" applyAlignment="1" pivotButton="0" quotePrefix="0" xfId="0">
      <alignment vertical="center"/>
    </xf>
    <xf numFmtId="0" fontId="62" fillId="2" borderId="29" applyAlignment="1" pivotButton="0" quotePrefix="0" xfId="0">
      <alignment vertical="center"/>
    </xf>
    <xf numFmtId="0" fontId="63" fillId="0" borderId="32" applyAlignment="1" pivotButton="0" quotePrefix="0" xfId="0">
      <alignment vertical="center"/>
    </xf>
    <xf numFmtId="0" fontId="71" fillId="0" borderId="31" applyAlignment="1" pivotButton="0" quotePrefix="0" xfId="0">
      <alignment vertical="center"/>
    </xf>
    <xf numFmtId="0" fontId="64" fillId="2" borderId="9" applyAlignment="1" pivotButton="0" quotePrefix="0" xfId="0">
      <alignment horizontal="center" vertical="center"/>
    </xf>
    <xf numFmtId="164" fontId="74" fillId="2" borderId="45" applyAlignment="1" pivotButton="0" quotePrefix="0" xfId="0">
      <alignment horizontal="center" vertical="center"/>
    </xf>
    <xf numFmtId="164" fontId="74" fillId="2" borderId="4" applyAlignment="1" pivotButton="0" quotePrefix="0" xfId="0">
      <alignment horizontal="center" vertical="center"/>
    </xf>
    <xf numFmtId="164" fontId="74" fillId="0" borderId="4" applyAlignment="1" pivotButton="0" quotePrefix="0" xfId="0">
      <alignment horizontal="center" vertical="center"/>
    </xf>
    <xf numFmtId="164" fontId="75" fillId="0" borderId="4" applyAlignment="1" pivotButton="0" quotePrefix="0" xfId="0">
      <alignment horizontal="center" vertical="center"/>
    </xf>
    <xf numFmtId="164" fontId="74" fillId="0" borderId="45" applyAlignment="1" pivotButton="0" quotePrefix="0" xfId="0">
      <alignment horizontal="center" vertical="center"/>
    </xf>
    <xf numFmtId="164" fontId="75" fillId="0" borderId="7" applyAlignment="1" pivotButton="0" quotePrefix="0" xfId="0">
      <alignment horizontal="center" vertical="center"/>
    </xf>
    <xf numFmtId="0" fontId="52" fillId="2" borderId="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76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 wrapText="1"/>
    </xf>
    <xf numFmtId="0" fontId="53" fillId="0" borderId="1" applyAlignment="1" pivotButton="0" quotePrefix="0" xfId="0">
      <alignment vertical="center"/>
    </xf>
    <xf numFmtId="0" fontId="52" fillId="0" borderId="51" applyAlignment="1" pivotButton="0" quotePrefix="0" xfId="0">
      <alignment vertical="center"/>
    </xf>
    <xf numFmtId="0" fontId="52" fillId="0" borderId="2" applyAlignment="1" pivotButton="0" quotePrefix="0" xfId="0">
      <alignment vertical="center"/>
    </xf>
    <xf numFmtId="0" fontId="52" fillId="0" borderId="13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59" fillId="0" borderId="2" applyAlignment="1" pivotButton="0" quotePrefix="0" xfId="0">
      <alignment vertical="center"/>
    </xf>
    <xf numFmtId="0" fontId="58" fillId="2" borderId="12" applyAlignment="1" pivotButton="0" quotePrefix="0" xfId="0">
      <alignment horizontal="center" vertical="center"/>
    </xf>
    <xf numFmtId="0" fontId="52" fillId="0" borderId="16" applyAlignment="1" pivotButton="0" quotePrefix="0" xfId="0">
      <alignment vertical="center"/>
    </xf>
    <xf numFmtId="0" fontId="56" fillId="8" borderId="3" applyAlignment="1" pivotButton="0" quotePrefix="0" xfId="0">
      <alignment horizontal="center" vertical="center"/>
    </xf>
    <xf numFmtId="0" fontId="76" fillId="3" borderId="3" applyAlignment="1" pivotButton="0" quotePrefix="0" xfId="0">
      <alignment horizontal="center" vertical="center"/>
    </xf>
    <xf numFmtId="0" fontId="77" fillId="12" borderId="3" applyAlignment="1" pivotButton="0" quotePrefix="0" xfId="0">
      <alignment horizontal="center" vertical="center"/>
    </xf>
    <xf numFmtId="0" fontId="76" fillId="4" borderId="3" applyAlignment="1" pivotButton="0" quotePrefix="0" xfId="0">
      <alignment horizontal="center" vertical="center"/>
    </xf>
    <xf numFmtId="0" fontId="76" fillId="0" borderId="3" applyAlignment="1" pivotButton="0" quotePrefix="0" xfId="0">
      <alignment horizontal="center" vertical="center"/>
    </xf>
    <xf numFmtId="0" fontId="69" fillId="9" borderId="3" applyAlignment="1" pivotButton="0" quotePrefix="0" xfId="0">
      <alignment horizontal="center" vertical="center"/>
    </xf>
    <xf numFmtId="0" fontId="68" fillId="10" borderId="3" applyAlignment="1" pivotButton="0" quotePrefix="0" xfId="0">
      <alignment horizontal="center" vertical="center"/>
    </xf>
    <xf numFmtId="0" fontId="58" fillId="6" borderId="3" applyAlignment="1" pivotButton="0" quotePrefix="0" xfId="0">
      <alignment horizontal="center" vertical="center"/>
    </xf>
    <xf numFmtId="0" fontId="76" fillId="5" borderId="3" applyAlignment="1" pivotButton="0" quotePrefix="0" xfId="0">
      <alignment horizontal="center" vertical="center"/>
    </xf>
    <xf numFmtId="0" fontId="76" fillId="0" borderId="3" applyAlignment="1" pivotButton="0" quotePrefix="0" xfId="0">
      <alignment vertical="center"/>
    </xf>
    <xf numFmtId="0" fontId="52" fillId="0" borderId="21" applyAlignment="1" pivotButton="0" quotePrefix="0" xfId="0">
      <alignment horizontal="center" vertical="center" wrapText="1"/>
    </xf>
    <xf numFmtId="0" fontId="59" fillId="0" borderId="0" applyAlignment="1" pivotButton="0" quotePrefix="0" xfId="0">
      <alignment vertical="center"/>
    </xf>
    <xf numFmtId="0" fontId="63" fillId="0" borderId="40" applyAlignment="1" pivotButton="0" quotePrefix="0" xfId="0">
      <alignment vertical="center"/>
    </xf>
    <xf numFmtId="0" fontId="64" fillId="2" borderId="10" applyAlignment="1" pivotButton="0" quotePrefix="0" xfId="0">
      <alignment horizontal="center" vertical="center"/>
    </xf>
    <xf numFmtId="0" fontId="64" fillId="2" borderId="5" applyAlignment="1" pivotButton="0" quotePrefix="0" xfId="0">
      <alignment horizontal="center" vertical="center"/>
    </xf>
    <xf numFmtId="0" fontId="60" fillId="0" borderId="16" applyAlignment="1" pivotButton="0" quotePrefix="0" xfId="0">
      <alignment vertical="center"/>
    </xf>
    <xf numFmtId="0" fontId="58" fillId="0" borderId="20" applyAlignment="1" pivotButton="0" quotePrefix="0" xfId="0">
      <alignment vertical="center"/>
    </xf>
    <xf numFmtId="0" fontId="58" fillId="0" borderId="3" applyAlignment="1" pivotButton="0" quotePrefix="0" xfId="0">
      <alignment vertical="center"/>
    </xf>
    <xf numFmtId="0" fontId="53" fillId="0" borderId="21" applyAlignment="1" pivotButton="0" quotePrefix="0" xfId="0">
      <alignment horizontal="center" vertical="center"/>
    </xf>
    <xf numFmtId="0" fontId="63" fillId="0" borderId="19" applyAlignment="1" pivotButton="0" quotePrefix="0" xfId="0">
      <alignment vertical="center"/>
    </xf>
    <xf numFmtId="0" fontId="58" fillId="0" borderId="42" applyAlignment="1" pivotButton="0" quotePrefix="0" xfId="0">
      <alignment vertical="center"/>
    </xf>
    <xf numFmtId="0" fontId="64" fillId="2" borderId="34" applyAlignment="1" pivotButton="0" quotePrefix="0" xfId="0">
      <alignment horizontal="center" vertical="center"/>
    </xf>
    <xf numFmtId="0" fontId="64" fillId="2" borderId="43" applyAlignment="1" pivotButton="0" quotePrefix="0" xfId="0">
      <alignment horizontal="center" vertical="center"/>
    </xf>
    <xf numFmtId="0" fontId="63" fillId="0" borderId="41" applyAlignment="1" pivotButton="0" quotePrefix="0" xfId="0">
      <alignment vertical="center"/>
    </xf>
    <xf numFmtId="0" fontId="60" fillId="2" borderId="3" applyAlignment="1" pivotButton="0" quotePrefix="0" xfId="0">
      <alignment horizontal="center" vertical="center"/>
    </xf>
    <xf numFmtId="0" fontId="66" fillId="2" borderId="34" applyAlignment="1" pivotButton="0" quotePrefix="0" xfId="0">
      <alignment horizontal="center" vertical="center"/>
    </xf>
    <xf numFmtId="0" fontId="66" fillId="2" borderId="20" applyAlignment="1" pivotButton="0" quotePrefix="0" xfId="0">
      <alignment horizontal="center" vertical="center"/>
    </xf>
    <xf numFmtId="0" fontId="66" fillId="2" borderId="23" applyAlignment="1" pivotButton="0" quotePrefix="0" xfId="0">
      <alignment horizontal="center" vertical="center"/>
    </xf>
    <xf numFmtId="0" fontId="60" fillId="2" borderId="34" applyAlignment="1" pivotButton="0" quotePrefix="0" xfId="0">
      <alignment horizontal="center" vertical="center"/>
    </xf>
    <xf numFmtId="0" fontId="73" fillId="2" borderId="3" applyAlignment="1" pivotButton="0" quotePrefix="0" xfId="0">
      <alignment horizontal="center" vertical="center"/>
    </xf>
    <xf numFmtId="0" fontId="66" fillId="2" borderId="8" applyAlignment="1" pivotButton="0" quotePrefix="0" xfId="0">
      <alignment horizontal="center" vertical="center"/>
    </xf>
    <xf numFmtId="0" fontId="65" fillId="2" borderId="34" applyAlignment="1" pivotButton="0" quotePrefix="0" xfId="0">
      <alignment horizontal="center" vertical="center"/>
    </xf>
    <xf numFmtId="0" fontId="63" fillId="0" borderId="36" applyAlignment="1" pivotButton="0" quotePrefix="0" xfId="0">
      <alignment vertical="center"/>
    </xf>
    <xf numFmtId="0" fontId="64" fillId="2" borderId="24" applyAlignment="1" pivotButton="0" quotePrefix="0" xfId="0">
      <alignment horizontal="center" vertical="center"/>
    </xf>
    <xf numFmtId="0" fontId="69" fillId="2" borderId="10" applyAlignment="1" pivotButton="0" quotePrefix="0" xfId="0">
      <alignment horizontal="center" vertical="center"/>
    </xf>
    <xf numFmtId="0" fontId="69" fillId="2" borderId="38" applyAlignment="1" pivotButton="0" quotePrefix="0" xfId="0">
      <alignment horizontal="center" vertical="center"/>
    </xf>
    <xf numFmtId="0" fontId="69" fillId="2" borderId="5" applyAlignment="1" pivotButton="0" quotePrefix="0" xfId="0">
      <alignment horizontal="center" vertical="center"/>
    </xf>
    <xf numFmtId="0" fontId="58" fillId="0" borderId="16" applyAlignment="1" pivotButton="0" quotePrefix="0" xfId="0">
      <alignment vertical="center"/>
    </xf>
    <xf numFmtId="0" fontId="69" fillId="2" borderId="3" applyAlignment="1" pivotButton="0" quotePrefix="0" xfId="0">
      <alignment horizontal="center" vertical="center"/>
    </xf>
    <xf numFmtId="0" fontId="69" fillId="2" borderId="8" applyAlignment="1" pivotButton="0" quotePrefix="0" xfId="0">
      <alignment horizontal="center" vertical="center"/>
    </xf>
    <xf numFmtId="0" fontId="69" fillId="2" borderId="15" applyAlignment="1" pivotButton="0" quotePrefix="0" xfId="0">
      <alignment horizontal="center" vertical="center"/>
    </xf>
    <xf numFmtId="0" fontId="70" fillId="2" borderId="8" applyAlignment="1" pivotButton="0" quotePrefix="0" xfId="0">
      <alignment horizontal="center" vertical="center"/>
    </xf>
    <xf numFmtId="0" fontId="58" fillId="2" borderId="16" applyAlignment="1" pivotButton="0" quotePrefix="0" xfId="0">
      <alignment vertical="center"/>
    </xf>
    <xf numFmtId="0" fontId="68" fillId="2" borderId="15" applyAlignment="1" pivotButton="0" quotePrefix="0" xfId="0">
      <alignment horizontal="center" vertical="center"/>
    </xf>
    <xf numFmtId="0" fontId="70" fillId="2" borderId="3" applyAlignment="1" pivotButton="0" quotePrefix="0" xfId="0">
      <alignment horizontal="center" vertical="center"/>
    </xf>
    <xf numFmtId="0" fontId="68" fillId="2" borderId="3" applyAlignment="1" pivotButton="0" quotePrefix="0" xfId="0">
      <alignment horizontal="center" vertical="center"/>
    </xf>
    <xf numFmtId="0" fontId="69" fillId="2" borderId="23" applyAlignment="1" pivotButton="0" quotePrefix="0" xfId="0">
      <alignment horizontal="center" vertical="center"/>
    </xf>
    <xf numFmtId="0" fontId="70" fillId="2" borderId="15" applyAlignment="1" pivotButton="0" quotePrefix="0" xfId="0">
      <alignment horizontal="center" vertical="center"/>
    </xf>
    <xf numFmtId="0" fontId="63" fillId="0" borderId="1" applyAlignment="1" pivotButton="0" quotePrefix="0" xfId="0">
      <alignment vertical="center"/>
    </xf>
    <xf numFmtId="0" fontId="69" fillId="2" borderId="18" applyAlignment="1" pivotButton="0" quotePrefix="0" xfId="0">
      <alignment horizontal="center" vertical="center"/>
    </xf>
    <xf numFmtId="0" fontId="72" fillId="2" borderId="6" applyAlignment="1" pivotButton="0" quotePrefix="0" xfId="0">
      <alignment horizontal="center" vertical="center"/>
    </xf>
    <xf numFmtId="0" fontId="70" fillId="2" borderId="9" applyAlignment="1" pivotButton="0" quotePrefix="0" xfId="0">
      <alignment horizontal="center" vertical="center"/>
    </xf>
    <xf numFmtId="0" fontId="63" fillId="2" borderId="0" applyAlignment="1" pivotButton="0" quotePrefix="0" xfId="0">
      <alignment vertical="center"/>
    </xf>
    <xf numFmtId="0" fontId="78" fillId="2" borderId="0" applyAlignment="1" pivotButton="0" quotePrefix="0" xfId="0">
      <alignment vertical="center"/>
    </xf>
    <xf numFmtId="0" fontId="74" fillId="2" borderId="0" applyAlignment="1" pivotButton="0" quotePrefix="0" xfId="0">
      <alignment vertical="center"/>
    </xf>
    <xf numFmtId="20" fontId="74" fillId="2" borderId="0" applyAlignment="1" pivotButton="0" quotePrefix="0" xfId="0">
      <alignment vertical="center"/>
    </xf>
    <xf numFmtId="0" fontId="58" fillId="0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62" fillId="2" borderId="0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shrinkToFit="1"/>
    </xf>
    <xf numFmtId="164" fontId="74" fillId="2" borderId="14" applyAlignment="1" pivotButton="0" quotePrefix="0" xfId="0">
      <alignment horizontal="center" vertical="center"/>
    </xf>
    <xf numFmtId="0" fontId="80" fillId="0" borderId="17" applyAlignment="1" pivotButton="0" quotePrefix="0" xfId="0">
      <alignment vertical="center"/>
    </xf>
    <xf numFmtId="0" fontId="80" fillId="0" borderId="0" applyAlignment="1" pivotButton="0" quotePrefix="0" xfId="0">
      <alignment vertical="center"/>
    </xf>
    <xf numFmtId="0" fontId="80" fillId="0" borderId="8" applyAlignment="1" pivotButton="0" quotePrefix="0" xfId="0">
      <alignment vertical="center"/>
    </xf>
    <xf numFmtId="0" fontId="58" fillId="2" borderId="0" applyAlignment="1" pivotButton="0" quotePrefix="0" xfId="0">
      <alignment horizontal="left" vertical="center"/>
    </xf>
    <xf numFmtId="0" fontId="63" fillId="0" borderId="8" applyAlignment="1" pivotButton="0" quotePrefix="0" xfId="0">
      <alignment vertical="center"/>
    </xf>
    <xf numFmtId="0" fontId="80" fillId="0" borderId="9" applyAlignment="1" pivotButton="0" quotePrefix="0" xfId="0">
      <alignment vertical="center"/>
    </xf>
    <xf numFmtId="0" fontId="82" fillId="0" borderId="0" applyAlignment="1" pivotButton="0" quotePrefix="0" xfId="0">
      <alignment vertical="center"/>
    </xf>
    <xf numFmtId="0" fontId="83" fillId="0" borderId="0" applyAlignment="1" pivotButton="0" quotePrefix="0" xfId="0">
      <alignment vertical="center"/>
    </xf>
    <xf numFmtId="0" fontId="58" fillId="0" borderId="41" applyAlignment="1" pivotButton="0" quotePrefix="0" xfId="0">
      <alignment horizontal="center" vertical="center"/>
    </xf>
    <xf numFmtId="0" fontId="58" fillId="0" borderId="44" applyAlignment="1" pivotButton="0" quotePrefix="0" xfId="0">
      <alignment horizontal="center" vertical="center"/>
    </xf>
    <xf numFmtId="0" fontId="58" fillId="0" borderId="34" applyAlignment="1" pivotButton="0" quotePrefix="0" xfId="0">
      <alignment horizontal="center" vertical="center"/>
    </xf>
    <xf numFmtId="0" fontId="83" fillId="0" borderId="46" applyAlignment="1" pivotButton="0" quotePrefix="0" xfId="0">
      <alignment horizontal="center" vertical="center"/>
    </xf>
    <xf numFmtId="0" fontId="58" fillId="0" borderId="15" applyAlignment="1" pivotButton="0" quotePrefix="0" xfId="0">
      <alignment horizontal="center" vertical="center"/>
    </xf>
    <xf numFmtId="0" fontId="58" fillId="0" borderId="19" applyAlignment="1" pivotButton="0" quotePrefix="0" xfId="0">
      <alignment horizontal="center" vertical="center"/>
    </xf>
    <xf numFmtId="0" fontId="63" fillId="0" borderId="3" applyAlignment="1" pivotButton="0" quotePrefix="0" xfId="0">
      <alignment horizontal="center" vertical="center"/>
    </xf>
    <xf numFmtId="0" fontId="63" fillId="0" borderId="6" applyAlignment="1" pivotButton="0" quotePrefix="0" xfId="0">
      <alignment horizontal="center" vertical="center"/>
    </xf>
    <xf numFmtId="0" fontId="63" fillId="0" borderId="53" applyAlignment="1" pivotButton="0" quotePrefix="0" xfId="0">
      <alignment horizontal="center" vertical="center"/>
    </xf>
    <xf numFmtId="0" fontId="63" fillId="0" borderId="43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0" fontId="52" fillId="0" borderId="8" applyAlignment="1" pivotButton="0" quotePrefix="0" xfId="0">
      <alignment horizontal="center" vertical="center"/>
    </xf>
    <xf numFmtId="0" fontId="52" fillId="0" borderId="9" applyAlignment="1" pivotButton="0" quotePrefix="0" xfId="0">
      <alignment horizontal="center" vertical="center"/>
    </xf>
    <xf numFmtId="0" fontId="77" fillId="8" borderId="3" applyAlignment="1" pivotButton="0" quotePrefix="0" xfId="0">
      <alignment horizontal="center" vertical="center"/>
    </xf>
    <xf numFmtId="0" fontId="77" fillId="9" borderId="3" applyAlignment="1" pivotButton="0" quotePrefix="0" xfId="0">
      <alignment horizontal="center" vertical="center"/>
    </xf>
    <xf numFmtId="0" fontId="77" fillId="10" borderId="3" applyAlignment="1" pivotButton="0" quotePrefix="0" xfId="0">
      <alignment horizontal="center" vertical="center"/>
    </xf>
    <xf numFmtId="0" fontId="76" fillId="6" borderId="3" applyAlignment="1" pivotButton="0" quotePrefix="0" xfId="0">
      <alignment horizontal="center" vertical="center"/>
    </xf>
    <xf numFmtId="0" fontId="85" fillId="0" borderId="0" applyAlignment="1" pivotButton="0" quotePrefix="0" xfId="0">
      <alignment vertical="center"/>
    </xf>
    <xf numFmtId="0" fontId="8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vertical="center"/>
    </xf>
    <xf numFmtId="0" fontId="93" fillId="0" borderId="0" applyAlignment="1" pivotButton="0" quotePrefix="0" xfId="0">
      <alignment vertical="center"/>
    </xf>
    <xf numFmtId="0" fontId="94" fillId="0" borderId="0" applyAlignment="1" pivotButton="0" quotePrefix="0" xfId="0">
      <alignment vertical="center"/>
    </xf>
    <xf numFmtId="0" fontId="96" fillId="0" borderId="0" applyAlignment="1" pivotButton="0" quotePrefix="0" xfId="0">
      <alignment vertical="center"/>
    </xf>
    <xf numFmtId="0" fontId="95" fillId="0" borderId="0" applyAlignment="1" pivotButton="0" quotePrefix="0" xfId="0">
      <alignment vertical="center"/>
    </xf>
    <xf numFmtId="0" fontId="76" fillId="0" borderId="0" applyAlignment="1" pivotButton="0" quotePrefix="0" xfId="0">
      <alignment vertical="center"/>
    </xf>
    <xf numFmtId="0" fontId="63" fillId="0" borderId="62" applyAlignment="1" pivotButton="0" quotePrefix="0" xfId="0">
      <alignment horizontal="center" vertical="center"/>
    </xf>
    <xf numFmtId="0" fontId="87" fillId="2" borderId="8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/>
    </xf>
    <xf numFmtId="0" fontId="58" fillId="8" borderId="47" applyAlignment="1" pivotButton="0" quotePrefix="0" xfId="0">
      <alignment horizontal="center" vertical="center"/>
    </xf>
    <xf numFmtId="0" fontId="103" fillId="5" borderId="17" applyAlignment="1" pivotButton="0" quotePrefix="0" xfId="0">
      <alignment vertical="center"/>
    </xf>
    <xf numFmtId="0" fontId="87" fillId="0" borderId="34" applyAlignment="1" pivotButton="0" quotePrefix="0" xfId="0">
      <alignment horizontal="center" vertical="center"/>
    </xf>
    <xf numFmtId="0" fontId="89" fillId="0" borderId="3" applyAlignment="1" pivotButton="0" quotePrefix="0" xfId="0">
      <alignment horizontal="center" vertical="center"/>
    </xf>
    <xf numFmtId="0" fontId="87" fillId="0" borderId="3" applyAlignment="1" pivotButton="0" quotePrefix="0" xfId="0">
      <alignment horizontal="center" vertical="center"/>
    </xf>
    <xf numFmtId="0" fontId="91" fillId="0" borderId="3" applyAlignment="1" pivotButton="0" quotePrefix="0" xfId="0">
      <alignment horizontal="center" vertical="center"/>
    </xf>
    <xf numFmtId="0" fontId="89" fillId="0" borderId="10" applyAlignment="1" pivotButton="0" quotePrefix="0" xfId="0">
      <alignment horizontal="center" vertical="center"/>
    </xf>
    <xf numFmtId="0" fontId="89" fillId="0" borderId="5" applyAlignment="1" pivotButton="0" quotePrefix="0" xfId="0">
      <alignment horizontal="center" vertical="center"/>
    </xf>
    <xf numFmtId="0" fontId="87" fillId="0" borderId="5" applyAlignment="1" pivotButton="0" quotePrefix="0" xfId="0">
      <alignment horizontal="center" vertical="center"/>
    </xf>
    <xf numFmtId="0" fontId="91" fillId="0" borderId="5" applyAlignment="1" pivotButton="0" quotePrefix="0" xfId="0">
      <alignment horizontal="center" vertical="center"/>
    </xf>
    <xf numFmtId="0" fontId="89" fillId="0" borderId="15" applyAlignment="1" pivotButton="0" quotePrefix="0" xfId="0">
      <alignment horizontal="center" vertical="center"/>
    </xf>
    <xf numFmtId="0" fontId="87" fillId="0" borderId="15" applyAlignment="1" pivotButton="0" quotePrefix="0" xfId="0">
      <alignment horizontal="center" vertical="center"/>
    </xf>
    <xf numFmtId="0" fontId="64" fillId="0" borderId="44" applyAlignment="1" pivotButton="0" quotePrefix="0" xfId="0">
      <alignment horizontal="center" vertical="center"/>
    </xf>
    <xf numFmtId="0" fontId="64" fillId="0" borderId="6" applyAlignment="1" pivotButton="0" quotePrefix="0" xfId="0">
      <alignment horizontal="center" vertical="center"/>
    </xf>
    <xf numFmtId="0" fontId="64" fillId="0" borderId="49" applyAlignment="1" pivotButton="0" quotePrefix="0" xfId="0">
      <alignment horizontal="center" vertical="center"/>
    </xf>
    <xf numFmtId="0" fontId="87" fillId="0" borderId="33" applyAlignment="1" pivotButton="0" quotePrefix="0" xfId="0">
      <alignment horizontal="center" vertical="center"/>
    </xf>
    <xf numFmtId="0" fontId="88" fillId="0" borderId="10" applyAlignment="1" pivotButton="0" quotePrefix="0" xfId="0">
      <alignment horizontal="center" vertical="center"/>
    </xf>
    <xf numFmtId="0" fontId="87" fillId="0" borderId="10" applyAlignment="1" pivotButton="0" quotePrefix="0" xfId="0">
      <alignment horizontal="center" vertical="center"/>
    </xf>
    <xf numFmtId="0" fontId="64" fillId="0" borderId="3" applyAlignment="1" pivotButton="0" quotePrefix="0" xfId="0">
      <alignment horizontal="center" vertical="center"/>
    </xf>
    <xf numFmtId="0" fontId="90" fillId="0" borderId="3" applyAlignment="1" pivotButton="0" quotePrefix="0" xfId="0">
      <alignment horizontal="center" vertical="center"/>
    </xf>
    <xf numFmtId="0" fontId="88" fillId="0" borderId="3" applyAlignment="1" pivotButton="0" quotePrefix="0" xfId="0">
      <alignment horizontal="center" vertical="center"/>
    </xf>
    <xf numFmtId="0" fontId="65" fillId="0" borderId="8" applyAlignment="1" pivotButton="0" quotePrefix="0" xfId="0">
      <alignment horizontal="center" vertical="center"/>
    </xf>
    <xf numFmtId="0" fontId="91" fillId="0" borderId="34" applyAlignment="1" pivotButton="0" quotePrefix="0" xfId="0">
      <alignment horizontal="center" vertical="center"/>
    </xf>
    <xf numFmtId="0" fontId="64" fillId="0" borderId="23" applyAlignment="1" pivotButton="0" quotePrefix="0" xfId="0">
      <alignment horizontal="center" vertical="center"/>
    </xf>
    <xf numFmtId="0" fontId="64" fillId="0" borderId="8" applyAlignment="1" pivotButton="0" quotePrefix="0" xfId="0">
      <alignment horizontal="center" vertical="center"/>
    </xf>
    <xf numFmtId="0" fontId="89" fillId="0" borderId="34" applyAlignment="1" pivotButton="0" quotePrefix="0" xfId="0">
      <alignment horizontal="center" vertical="center"/>
    </xf>
    <xf numFmtId="0" fontId="88" fillId="0" borderId="34" applyAlignment="1" pivotButton="0" quotePrefix="0" xfId="0">
      <alignment horizontal="center" vertical="center"/>
    </xf>
    <xf numFmtId="0" fontId="64" fillId="0" borderId="5" applyAlignment="1" pivotButton="0" quotePrefix="0" xfId="0">
      <alignment horizontal="center" vertical="center"/>
    </xf>
    <xf numFmtId="0" fontId="64" fillId="0" borderId="9" applyAlignment="1" pivotButton="0" quotePrefix="0" xfId="0">
      <alignment horizontal="center" vertical="center"/>
    </xf>
    <xf numFmtId="0" fontId="97" fillId="0" borderId="10" applyAlignment="1" pivotButton="0" quotePrefix="0" xfId="0">
      <alignment horizontal="center" vertical="center"/>
    </xf>
    <xf numFmtId="0" fontId="97" fillId="0" borderId="5" applyAlignment="1" pivotButton="0" quotePrefix="0" xfId="0">
      <alignment horizontal="center" vertical="center"/>
    </xf>
    <xf numFmtId="0" fontId="97" fillId="0" borderId="20" applyAlignment="1" pivotButton="0" quotePrefix="0" xfId="0">
      <alignment horizontal="center" vertical="center"/>
    </xf>
    <xf numFmtId="0" fontId="97" fillId="0" borderId="3" applyAlignment="1" pivotButton="0" quotePrefix="0" xfId="0">
      <alignment horizontal="center" vertical="center"/>
    </xf>
    <xf numFmtId="0" fontId="97" fillId="0" borderId="34" applyAlignment="1" pivotButton="0" quotePrefix="0" xfId="0">
      <alignment horizontal="center" vertical="center"/>
    </xf>
    <xf numFmtId="0" fontId="101" fillId="0" borderId="3" applyAlignment="1" pivotButton="0" quotePrefix="0" xfId="0">
      <alignment horizontal="center" vertical="center"/>
    </xf>
    <xf numFmtId="0" fontId="102" fillId="0" borderId="3" applyAlignment="1" pivotButton="0" quotePrefix="0" xfId="0">
      <alignment horizontal="center" vertical="center"/>
    </xf>
    <xf numFmtId="0" fontId="98" fillId="0" borderId="3" applyAlignment="1" pivotButton="0" quotePrefix="0" xfId="0">
      <alignment horizontal="center" vertical="center"/>
    </xf>
    <xf numFmtId="0" fontId="100" fillId="0" borderId="3" applyAlignment="1" pivotButton="0" quotePrefix="0" xfId="0">
      <alignment horizontal="center" vertical="center"/>
    </xf>
    <xf numFmtId="0" fontId="102" fillId="0" borderId="20" applyAlignment="1" pivotButton="0" quotePrefix="0" xfId="0">
      <alignment horizontal="center" vertical="center"/>
    </xf>
    <xf numFmtId="0" fontId="99" fillId="0" borderId="20" applyAlignment="1" pivotButton="0" quotePrefix="0" xfId="0">
      <alignment horizontal="center" vertical="center"/>
    </xf>
    <xf numFmtId="0" fontId="99" fillId="0" borderId="3" applyAlignment="1" pivotButton="0" quotePrefix="0" xfId="0">
      <alignment horizontal="center" vertical="center"/>
    </xf>
    <xf numFmtId="0" fontId="97" fillId="0" borderId="41" applyAlignment="1" pivotButton="0" quotePrefix="0" xfId="0">
      <alignment horizontal="center" vertical="center"/>
    </xf>
    <xf numFmtId="0" fontId="97" fillId="0" borderId="23" applyAlignment="1" pivotButton="0" quotePrefix="0" xfId="0">
      <alignment horizontal="center" vertical="center"/>
    </xf>
    <xf numFmtId="0" fontId="97" fillId="0" borderId="33" applyAlignment="1" pivotButton="0" quotePrefix="0" xfId="0">
      <alignment horizontal="center" vertical="center"/>
    </xf>
    <xf numFmtId="0" fontId="97" fillId="0" borderId="37" applyAlignment="1" pivotButton="0" quotePrefix="0" xfId="0">
      <alignment horizontal="center" vertical="center"/>
    </xf>
    <xf numFmtId="0" fontId="97" fillId="0" borderId="53" applyAlignment="1" pivotButton="0" quotePrefix="0" xfId="0">
      <alignment horizontal="center" vertical="center"/>
    </xf>
    <xf numFmtId="0" fontId="97" fillId="0" borderId="21" applyAlignment="1" pivotButton="0" quotePrefix="0" xfId="0">
      <alignment horizontal="center" vertical="center"/>
    </xf>
    <xf numFmtId="0" fontId="97" fillId="0" borderId="44" applyAlignment="1" pivotButton="0" quotePrefix="0" xfId="0">
      <alignment horizontal="center" vertical="center"/>
    </xf>
    <xf numFmtId="0" fontId="97" fillId="0" borderId="6" applyAlignment="1" pivotButton="0" quotePrefix="0" xfId="0">
      <alignment horizontal="center" vertical="center"/>
    </xf>
    <xf numFmtId="0" fontId="97" fillId="0" borderId="49" applyAlignment="1" pivotButton="0" quotePrefix="0" xfId="0">
      <alignment horizontal="center" vertical="center"/>
    </xf>
    <xf numFmtId="0" fontId="64" fillId="0" borderId="20" applyAlignment="1" pivotButton="0" quotePrefix="0" xfId="0">
      <alignment horizontal="center" vertical="center"/>
    </xf>
    <xf numFmtId="0" fontId="65" fillId="0" borderId="3" applyAlignment="1" pivotButton="0" quotePrefix="0" xfId="0">
      <alignment horizontal="center" vertical="center"/>
    </xf>
    <xf numFmtId="0" fontId="64" fillId="0" borderId="48" applyAlignment="1" pivotButton="0" quotePrefix="0" xfId="0">
      <alignment horizontal="center" vertical="center"/>
    </xf>
    <xf numFmtId="0" fontId="64" fillId="0" borderId="38" applyAlignment="1" pivotButton="0" quotePrefix="0" xfId="0">
      <alignment horizontal="center" vertical="center"/>
    </xf>
    <xf numFmtId="0" fontId="52" fillId="0" borderId="24" applyAlignment="1" pivotButton="0" quotePrefix="0" xfId="0">
      <alignment horizontal="center" vertical="center"/>
    </xf>
    <xf numFmtId="0" fontId="52" fillId="0" borderId="41" applyAlignment="1" pivotButton="0" quotePrefix="0" xfId="0">
      <alignment horizontal="center" vertical="center"/>
    </xf>
    <xf numFmtId="0" fontId="52" fillId="0" borderId="20" applyAlignment="1" pivotButton="0" quotePrefix="0" xfId="0">
      <alignment horizontal="center" vertical="center"/>
    </xf>
    <xf numFmtId="0" fontId="81" fillId="0" borderId="34" applyAlignment="1" pivotButton="0" quotePrefix="0" xfId="0">
      <alignment horizontal="center" vertical="center" wrapText="1"/>
    </xf>
    <xf numFmtId="0" fontId="81" fillId="0" borderId="3" applyAlignment="1" pivotButton="0" quotePrefix="0" xfId="0">
      <alignment horizontal="center" vertical="center"/>
    </xf>
    <xf numFmtId="0" fontId="60" fillId="0" borderId="1" applyAlignment="1" pivotButton="0" quotePrefix="0" xfId="0">
      <alignment horizontal="center" vertical="center"/>
    </xf>
    <xf numFmtId="0" fontId="52" fillId="0" borderId="25" applyAlignment="1" pivotButton="0" quotePrefix="0" xfId="0">
      <alignment vertical="center"/>
    </xf>
    <xf numFmtId="0" fontId="52" fillId="0" borderId="26" applyAlignment="1" pivotButton="0" quotePrefix="0" xfId="0">
      <alignment vertical="center"/>
    </xf>
    <xf numFmtId="0" fontId="52" fillId="0" borderId="27" applyAlignment="1" pivotButton="0" quotePrefix="0" xfId="0">
      <alignment vertical="center"/>
    </xf>
    <xf numFmtId="0" fontId="52" fillId="0" borderId="28" applyAlignment="1" pivotButton="0" quotePrefix="0" xfId="0">
      <alignment vertical="center"/>
    </xf>
    <xf numFmtId="20" fontId="58" fillId="0" borderId="59" applyAlignment="1" pivotButton="0" quotePrefix="0" xfId="0">
      <alignment horizontal="center" vertical="center"/>
    </xf>
    <xf numFmtId="20" fontId="58" fillId="0" borderId="57" applyAlignment="1" pivotButton="0" quotePrefix="0" xfId="0">
      <alignment horizontal="center" vertical="center"/>
    </xf>
    <xf numFmtId="20" fontId="58" fillId="0" borderId="23" applyAlignment="1" pivotButton="0" quotePrefix="0" xfId="0">
      <alignment horizontal="center" vertical="center"/>
    </xf>
    <xf numFmtId="20" fontId="58" fillId="0" borderId="41" applyAlignment="1" pivotButton="0" quotePrefix="0" xfId="0">
      <alignment horizontal="center" vertical="center"/>
    </xf>
    <xf numFmtId="20" fontId="58" fillId="0" borderId="58" applyAlignment="1" pivotButton="0" quotePrefix="0" xfId="0">
      <alignment horizontal="center" vertical="center"/>
    </xf>
    <xf numFmtId="20" fontId="58" fillId="0" borderId="29" applyAlignment="1" pivotButton="0" quotePrefix="0" xfId="0">
      <alignment horizontal="center" vertical="center"/>
    </xf>
    <xf numFmtId="0" fontId="63" fillId="0" borderId="54" applyAlignment="1" pivotButton="0" quotePrefix="0" xfId="0">
      <alignment horizontal="center" vertical="center"/>
    </xf>
    <xf numFmtId="0" fontId="63" fillId="0" borderId="55" applyAlignment="1" pivotButton="0" quotePrefix="0" xfId="0">
      <alignment horizontal="center" vertical="center"/>
    </xf>
    <xf numFmtId="0" fontId="63" fillId="0" borderId="56" applyAlignment="1" pivotButton="0" quotePrefix="0" xfId="0">
      <alignment horizontal="center" vertical="center"/>
    </xf>
    <xf numFmtId="0" fontId="63" fillId="0" borderId="59" applyAlignment="1" pivotButton="0" quotePrefix="0" xfId="0">
      <alignment horizontal="center" vertical="center"/>
    </xf>
    <xf numFmtId="0" fontId="63" fillId="0" borderId="60" applyAlignment="1" pivotButton="0" quotePrefix="0" xfId="0">
      <alignment horizontal="center" vertical="center"/>
    </xf>
    <xf numFmtId="0" fontId="63" fillId="0" borderId="23" applyAlignment="1" pivotButton="0" quotePrefix="0" xfId="0">
      <alignment horizontal="center" vertical="center"/>
    </xf>
    <xf numFmtId="0" fontId="63" fillId="0" borderId="20" applyAlignment="1" pivotButton="0" quotePrefix="0" xfId="0">
      <alignment horizontal="center" vertical="center"/>
    </xf>
    <xf numFmtId="0" fontId="52" fillId="0" borderId="61" applyAlignment="1" pivotButton="0" quotePrefix="0" xfId="0">
      <alignment horizontal="center" vertical="center"/>
    </xf>
    <xf numFmtId="0" fontId="52" fillId="0" borderId="57" applyAlignment="1" pivotButton="0" quotePrefix="0" xfId="0">
      <alignment horizontal="center" vertical="center"/>
    </xf>
    <xf numFmtId="0" fontId="52" fillId="0" borderId="60" applyAlignment="1" pivotButton="0" quotePrefix="0" xfId="0">
      <alignment horizontal="center" vertical="center"/>
    </xf>
    <xf numFmtId="0" fontId="52" fillId="0" borderId="46" applyAlignment="1" pivotButton="0" quotePrefix="0" xfId="0">
      <alignment horizontal="center" vertical="center" wrapText="1"/>
    </xf>
    <xf numFmtId="0" fontId="52" fillId="0" borderId="6" applyAlignment="1" pivotButton="0" quotePrefix="0" xfId="0">
      <alignment horizontal="center" vertical="center"/>
    </xf>
    <xf numFmtId="0" fontId="63" fillId="0" borderId="6" applyAlignment="1" pivotButton="0" quotePrefix="0" xfId="0">
      <alignment horizontal="center" vertical="center"/>
    </xf>
    <xf numFmtId="56" fontId="53" fillId="2" borderId="0" applyAlignment="1" pivotButton="0" quotePrefix="0" xfId="0">
      <alignment vertical="center"/>
    </xf>
    <xf numFmtId="165" fontId="53" fillId="0" borderId="0" applyAlignment="1" pivotButton="0" quotePrefix="0" xfId="0">
      <alignment horizontal="left" vertical="center"/>
    </xf>
    <xf numFmtId="0" fontId="84" fillId="2" borderId="33" applyAlignment="1" pivotButton="0" quotePrefix="0" xfId="0">
      <alignment vertical="center" textRotation="255"/>
    </xf>
    <xf numFmtId="0" fontId="84" fillId="0" borderId="34" applyAlignment="1" pivotButton="0" quotePrefix="0" xfId="0">
      <alignment vertical="center" textRotation="255"/>
    </xf>
    <xf numFmtId="0" fontId="84" fillId="0" borderId="46" applyAlignment="1" pivotButton="0" quotePrefix="0" xfId="0">
      <alignment vertical="center" textRotation="255"/>
    </xf>
    <xf numFmtId="0" fontId="61" fillId="0" borderId="33" applyAlignment="1" pivotButton="0" quotePrefix="0" xfId="0">
      <alignment vertical="center" textRotation="255"/>
    </xf>
    <xf numFmtId="0" fontId="58" fillId="0" borderId="34" applyAlignment="1" pivotButton="0" quotePrefix="0" xfId="0">
      <alignment vertical="center" textRotation="255"/>
    </xf>
    <xf numFmtId="0" fontId="58" fillId="0" borderId="46" applyAlignment="1" pivotButton="0" quotePrefix="0" xfId="0">
      <alignment vertical="center" textRotation="255"/>
    </xf>
    <xf numFmtId="0" fontId="74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20" fontId="58" fillId="0" borderId="3" applyAlignment="1" pivotButton="0" quotePrefix="0" xfId="0">
      <alignment horizontal="center" vertical="center"/>
    </xf>
    <xf numFmtId="0" fontId="58" fillId="0" borderId="23" applyAlignment="1" pivotButton="0" quotePrefix="0" xfId="0">
      <alignment horizontal="center" vertical="center"/>
    </xf>
    <xf numFmtId="20" fontId="58" fillId="0" borderId="6" applyAlignment="1" pivotButton="0" quotePrefix="0" xfId="0">
      <alignment horizontal="center" vertical="center"/>
    </xf>
    <xf numFmtId="0" fontId="58" fillId="0" borderId="52" applyAlignment="1" pivotButton="0" quotePrefix="0" xfId="0">
      <alignment horizontal="center" vertical="center"/>
    </xf>
    <xf numFmtId="0" fontId="63" fillId="0" borderId="3" applyAlignment="1" pivotButton="0" quotePrefix="0" xfId="0">
      <alignment horizontal="center" vertical="center"/>
    </xf>
    <xf numFmtId="0" fontId="63" fillId="0" borderId="62" applyAlignment="1" pivotButton="0" quotePrefix="0" xfId="0">
      <alignment horizontal="center" vertical="center"/>
    </xf>
    <xf numFmtId="20" fontId="58" fillId="0" borderId="20" applyAlignment="1" pivotButton="0" quotePrefix="0" xfId="0">
      <alignment horizontal="center" vertical="center"/>
    </xf>
    <xf numFmtId="0" fontId="58" fillId="0" borderId="8" applyAlignment="1" pivotButton="0" quotePrefix="0" xfId="0">
      <alignment horizontal="center" vertical="center"/>
    </xf>
    <xf numFmtId="20" fontId="58" fillId="0" borderId="49" applyAlignment="1" pivotButton="0" quotePrefix="0" xfId="0">
      <alignment horizontal="center" vertical="center"/>
    </xf>
    <xf numFmtId="0" fontId="58" fillId="0" borderId="9" applyAlignment="1" pivotButton="0" quotePrefix="0" xfId="0">
      <alignment horizontal="center" vertical="center"/>
    </xf>
    <xf numFmtId="0" fontId="79" fillId="0" borderId="33" applyAlignment="1" pivotButton="0" quotePrefix="0" xfId="0">
      <alignment vertical="center" textRotation="255"/>
    </xf>
    <xf numFmtId="0" fontId="52" fillId="0" borderId="34" applyAlignment="1" pivotButton="0" quotePrefix="0" xfId="0">
      <alignment vertical="center" textRotation="255"/>
    </xf>
    <xf numFmtId="0" fontId="52" fillId="0" borderId="46" applyAlignment="1" pivotButton="0" quotePrefix="0" xfId="0">
      <alignment vertical="center" textRotation="255"/>
    </xf>
    <xf numFmtId="0" fontId="58" fillId="0" borderId="1" applyAlignment="1" pivotButton="0" quotePrefix="0" xfId="0">
      <alignment horizontal="center" vertical="center"/>
    </xf>
    <xf numFmtId="0" fontId="52" fillId="0" borderId="39" applyAlignment="1" pivotButton="0" quotePrefix="0" xfId="0">
      <alignment vertical="center"/>
    </xf>
    <xf numFmtId="0" fontId="52" fillId="0" borderId="1" applyAlignment="1" pivotButton="0" quotePrefix="0" xfId="0">
      <alignment vertical="center"/>
    </xf>
    <xf numFmtId="0" fontId="74" fillId="2" borderId="33" applyAlignment="1" pivotButton="0" quotePrefix="0" xfId="0">
      <alignment vertical="center" textRotation="255"/>
    </xf>
    <xf numFmtId="0" fontId="74" fillId="0" borderId="34" applyAlignment="1" pivotButton="0" quotePrefix="0" xfId="0">
      <alignment vertical="center" textRotation="255"/>
    </xf>
    <xf numFmtId="0" fontId="74" fillId="0" borderId="46" applyAlignment="1" pivotButton="0" quotePrefix="0" xfId="0">
      <alignment vertical="center" textRotation="255"/>
    </xf>
    <xf numFmtId="0" fontId="80" fillId="0" borderId="5" applyAlignment="1" pivotButton="0" quotePrefix="0" xfId="0">
      <alignment horizontal="left" vertical="center"/>
    </xf>
    <xf numFmtId="0" fontId="52" fillId="0" borderId="17" applyAlignment="1" pivotButton="0" quotePrefix="0" xfId="0">
      <alignment horizontal="left" vertical="center"/>
    </xf>
    <xf numFmtId="0" fontId="80" fillId="0" borderId="3" applyAlignment="1" pivotButton="0" quotePrefix="0" xfId="0">
      <alignment horizontal="left" vertical="center"/>
    </xf>
    <xf numFmtId="0" fontId="52" fillId="0" borderId="8" applyAlignment="1" pivotButton="0" quotePrefix="0" xfId="0">
      <alignment horizontal="left" vertical="center"/>
    </xf>
    <xf numFmtId="0" fontId="80" fillId="0" borderId="8" applyAlignment="1" pivotButton="0" quotePrefix="0" xfId="0">
      <alignment horizontal="left" vertical="center"/>
    </xf>
    <xf numFmtId="0" fontId="63" fillId="0" borderId="3" applyAlignment="1" pivotButton="0" quotePrefix="0" xfId="0">
      <alignment horizontal="left" vertical="center"/>
    </xf>
    <xf numFmtId="0" fontId="63" fillId="0" borderId="8" applyAlignment="1" pivotButton="0" quotePrefix="0" xfId="0">
      <alignment horizontal="left" vertical="center"/>
    </xf>
    <xf numFmtId="0" fontId="80" fillId="0" borderId="6" applyAlignment="1" pivotButton="0" quotePrefix="0" xfId="0">
      <alignment horizontal="left" vertical="center"/>
    </xf>
    <xf numFmtId="0" fontId="80" fillId="0" borderId="9" applyAlignment="1" pivotButton="0" quotePrefix="0" xfId="0">
      <alignment horizontal="left" vertical="center"/>
    </xf>
    <xf numFmtId="56" fontId="31" fillId="2" borderId="0" applyAlignment="1" pivotButton="0" quotePrefix="0" xfId="0">
      <alignment vertical="center"/>
    </xf>
    <xf numFmtId="165" fontId="31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25" applyAlignment="1" pivotButton="0" quotePrefix="0" xfId="0">
      <alignment vertical="center"/>
    </xf>
    <xf numFmtId="0" fontId="6" fillId="0" borderId="39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36" fillId="2" borderId="33" applyAlignment="1" pivotButton="0" quotePrefix="0" xfId="0">
      <alignment vertical="center" textRotation="255"/>
    </xf>
    <xf numFmtId="0" fontId="37" fillId="0" borderId="34" applyAlignment="1" pivotButton="0" quotePrefix="0" xfId="0">
      <alignment vertical="center" textRotation="255"/>
    </xf>
    <xf numFmtId="0" fontId="37" fillId="0" borderId="46" applyAlignment="1" pivotButton="0" quotePrefix="0" xfId="0">
      <alignment vertical="center" textRotation="255"/>
    </xf>
    <xf numFmtId="0" fontId="27" fillId="0" borderId="5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27" fillId="0" borderId="3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27" fillId="0" borderId="8" applyAlignment="1" pivotButton="0" quotePrefix="0" xfId="0">
      <alignment horizontal="left" vertical="center"/>
    </xf>
    <xf numFmtId="0" fontId="28" fillId="0" borderId="3" applyAlignment="1" pivotButton="0" quotePrefix="0" xfId="0">
      <alignment horizontal="left" vertical="center"/>
    </xf>
    <xf numFmtId="0" fontId="28" fillId="0" borderId="8" applyAlignment="1" pivotButton="0" quotePrefix="0" xfId="0">
      <alignment horizontal="left" vertical="center"/>
    </xf>
    <xf numFmtId="0" fontId="50" fillId="0" borderId="6" applyAlignment="1" pivotButton="0" quotePrefix="0" xfId="0">
      <alignment horizontal="left" vertical="center"/>
    </xf>
    <xf numFmtId="0" fontId="50" fillId="0" borderId="9" applyAlignment="1" pivotButton="0" quotePrefix="0" xfId="0">
      <alignment horizontal="left" vertical="center"/>
    </xf>
    <xf numFmtId="0" fontId="38" fillId="0" borderId="33" applyAlignment="1" pivotButton="0" quotePrefix="0" xfId="0">
      <alignment vertical="center" textRotation="255"/>
    </xf>
    <xf numFmtId="0" fontId="0" fillId="0" borderId="34" applyAlignment="1" pivotButton="0" quotePrefix="0" xfId="0">
      <alignment vertical="center" textRotation="255"/>
    </xf>
    <xf numFmtId="0" fontId="0" fillId="0" borderId="46" applyAlignment="1" pivotButton="0" quotePrefix="0" xfId="0">
      <alignment vertical="center" textRotation="255"/>
    </xf>
    <xf numFmtId="0" fontId="52" fillId="0" borderId="64" applyAlignment="1" pivotButton="0" quotePrefix="0" xfId="0">
      <alignment horizontal="center" vertical="center"/>
    </xf>
    <xf numFmtId="0" fontId="52" fillId="0" borderId="36" applyAlignment="1" pivotButton="0" quotePrefix="0" xfId="0">
      <alignment horizontal="center" vertical="center"/>
    </xf>
    <xf numFmtId="0" fontId="52" fillId="0" borderId="65" applyAlignment="1" pivotButton="0" quotePrefix="0" xfId="0">
      <alignment horizontal="center" vertical="center"/>
    </xf>
    <xf numFmtId="0" fontId="63" fillId="0" borderId="63" applyAlignment="1" pivotButton="0" quotePrefix="0" xfId="0">
      <alignment horizontal="center" vertical="center"/>
    </xf>
    <xf numFmtId="0" fontId="81" fillId="0" borderId="39" applyAlignment="1" pivotButton="0" quotePrefix="0" xfId="0">
      <alignment horizontal="center" vertical="center" wrapText="1"/>
    </xf>
    <xf numFmtId="0" fontId="81" fillId="0" borderId="39" applyAlignment="1" pivotButton="0" quotePrefix="0" xfId="0">
      <alignment horizontal="center" vertical="center"/>
    </xf>
    <xf numFmtId="0" fontId="63" fillId="0" borderId="39" applyAlignment="1" pivotButton="0" quotePrefix="0" xfId="0">
      <alignment horizontal="center" vertical="center"/>
    </xf>
    <xf numFmtId="0" fontId="63" fillId="0" borderId="39" applyAlignment="1" pivotButton="0" quotePrefix="0" xfId="0">
      <alignment horizontal="center" vertical="center"/>
    </xf>
    <xf numFmtId="0" fontId="52" fillId="0" borderId="39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52" fillId="0" borderId="68" applyAlignment="1" pivotButton="0" quotePrefix="0" xfId="0">
      <alignment vertical="center"/>
    </xf>
    <xf numFmtId="0" fontId="0" fillId="0" borderId="26" pivotButton="0" quotePrefix="0" xfId="0"/>
    <xf numFmtId="164" fontId="74" fillId="2" borderId="4" applyAlignment="1" pivotButton="0" quotePrefix="0" xfId="0">
      <alignment horizontal="center" vertical="center"/>
    </xf>
    <xf numFmtId="164" fontId="74" fillId="0" borderId="4" applyAlignment="1" pivotButton="0" quotePrefix="0" xfId="0">
      <alignment horizontal="center" vertical="center"/>
    </xf>
    <xf numFmtId="164" fontId="75" fillId="0" borderId="7" applyAlignment="1" pivotButton="0" quotePrefix="0" xfId="0">
      <alignment horizontal="center" vertical="center"/>
    </xf>
    <xf numFmtId="164" fontId="74" fillId="2" borderId="45" applyAlignment="1" pivotButton="0" quotePrefix="0" xfId="0">
      <alignment horizontal="center" vertical="center"/>
    </xf>
    <xf numFmtId="164" fontId="75" fillId="0" borderId="4" applyAlignment="1" pivotButton="0" quotePrefix="0" xfId="0">
      <alignment horizontal="center" vertical="center"/>
    </xf>
    <xf numFmtId="164" fontId="74" fillId="0" borderId="45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15" pivotButton="0" quotePrefix="0" xfId="0"/>
    <xf numFmtId="0" fontId="74" fillId="0" borderId="66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63" fillId="0" borderId="6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52" fillId="0" borderId="74" applyAlignment="1" pivotButton="0" quotePrefix="0" xfId="0">
      <alignment horizontal="center" vertical="center"/>
    </xf>
    <xf numFmtId="0" fontId="0" fillId="0" borderId="60" pivotButton="0" quotePrefix="0" xfId="0"/>
    <xf numFmtId="0" fontId="63" fillId="0" borderId="72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29" pivotButton="0" quotePrefix="0" xfId="0"/>
    <xf numFmtId="0" fontId="52" fillId="0" borderId="34" applyAlignment="1" pivotButton="0" quotePrefix="0" xfId="0">
      <alignment horizontal="center" vertical="center"/>
    </xf>
    <xf numFmtId="0" fontId="0" fillId="0" borderId="20" pivotButton="0" quotePrefix="0" xfId="0"/>
    <xf numFmtId="0" fontId="52" fillId="0" borderId="35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5" pivotButton="0" quotePrefix="0" xfId="0"/>
    <xf numFmtId="0" fontId="0" fillId="0" borderId="39" pivotButton="0" quotePrefix="0" xfId="0"/>
    <xf numFmtId="0" fontId="0" fillId="0" borderId="49" pivotButton="0" quotePrefix="0" xfId="0"/>
    <xf numFmtId="164" fontId="74" fillId="2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44" pivotButton="0" quotePrefix="0" xfId="0"/>
    <xf numFmtId="165" fontId="31" fillId="0" borderId="0" applyAlignment="1" pivotButton="0" quotePrefix="0" xfId="0">
      <alignment horizontal="left" vertical="center"/>
    </xf>
    <xf numFmtId="0" fontId="6" fillId="0" borderId="68" applyAlignment="1" pivotButton="0" quotePrefix="0" xfId="0">
      <alignment vertical="center"/>
    </xf>
    <xf numFmtId="164" fontId="3" fillId="2" borderId="1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44" fillId="0" borderId="4" applyAlignment="1" pivotButton="0" quotePrefix="0" xfId="0">
      <alignment horizontal="center" vertical="center"/>
    </xf>
    <xf numFmtId="164" fontId="44" fillId="0" borderId="7" applyAlignment="1" pivotButton="0" quotePrefix="0" xfId="0">
      <alignment horizontal="center" vertical="center"/>
    </xf>
  </cellXfs>
  <cellStyles count="1">
    <cellStyle name="標準" xfId="0" builtinId="0"/>
  </cellStyles>
  <dxfs count="621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B050"/>
      </font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b val="1"/>
        <color theme="0"/>
      </font>
      <fill>
        <patternFill>
          <bgColor rgb="FF0234FF"/>
        </patternFill>
      </fill>
    </dxf>
    <dxf>
      <font>
        <b val="1"/>
        <color rgb="FFFF000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1"/>
        <color theme="0"/>
      </font>
      <fill>
        <patternFill>
          <bgColor rgb="FF0234FF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0234FF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ont>
        <b val="1"/>
        <color theme="0"/>
      </font>
      <fill>
        <patternFill>
          <bgColor rgb="FF0234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  <u val="single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0234FF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ont>
        <color rgb="FF00B050"/>
      </font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0234FF"/>
        </patternFill>
      </fill>
    </dxf>
    <dxf>
      <font>
        <b val="1"/>
        <color rgb="FFFF000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b val="1"/>
        <color theme="0"/>
      </font>
      <fill>
        <patternFill>
          <bgColor rgb="FF0234FF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  <u val="single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7CE"/>
        </patternFill>
      </fill>
    </dxf>
    <dxf>
      <font>
        <b val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0234FF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ont>
        <b val="1"/>
        <color theme="0"/>
      </font>
      <fill>
        <patternFill>
          <bgColor rgb="FF0234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theme="0"/>
        <u val="single"/>
      </font>
      <fill>
        <patternFill>
          <bgColor theme="1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F0000"/>
        <u val="single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theme="0"/>
        <u val="single"/>
      </font>
      <fill>
        <patternFill>
          <bgColor theme="1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  <u val="single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afcjapan</author>
  </authors>
  <commentList>
    <comment ref="G2" authorId="0" shapeId="0">
      <text>
        <t>日付を入力して下さい。</t>
      </text>
    </comment>
    <comment ref="B4" authorId="0" shapeId="0">
      <text>
        <t xml:space="preserve">土日はA勤なしでもOK
BDあり
</t>
      </text>
    </comment>
  </commentList>
</comments>
</file>

<file path=xl/comments/comment2.xml><?xml version="1.0" encoding="utf-8"?>
<comments xmlns="http://schemas.openxmlformats.org/spreadsheetml/2006/main">
  <authors>
    <author>afcjapan</author>
  </authors>
  <commentList>
    <comment ref="E2" authorId="0" shapeId="0">
      <text>
        <t>日付を入力して下さい。</t>
      </text>
    </comment>
    <comment ref="B4" authorId="0" shapeId="0">
      <text>
        <t xml:space="preserve">土日はA勤なしでもOK
BDあり
</t>
      </text>
    </comment>
    <comment ref="D10" authorId="0" shapeId="0">
      <text>
        <t>A勤C勤不可
夜勤は基本日曜日
場合によっては
月曜日も可</t>
      </text>
    </comment>
    <comment ref="D11" authorId="0" shapeId="0">
      <text>
        <t>A勤C勤不可
夜勤は基本日曜日
場合によっては
月曜日も可</t>
      </text>
    </comment>
    <comment ref="D12" authorId="0" shapeId="0">
      <text>
        <t>基本夜勤7勤</t>
      </text>
    </comment>
    <comment ref="D13" authorId="0" shapeId="0">
      <text>
        <t>基本最大15勤</t>
      </text>
    </comment>
    <comment ref="D14" authorId="0" shapeId="0">
      <text>
        <t xml:space="preserve">Aはなるべく水曜
B,Dは不可
</t>
      </text>
    </comment>
    <comment ref="D15" authorId="0" shapeId="0">
      <text>
        <t>B,Dは不可</t>
      </text>
    </comment>
    <comment ref="D16" authorId="0" shapeId="0">
      <text>
        <t>A,B,Dは不可</t>
      </text>
    </comment>
    <comment ref="D22" authorId="0" shapeId="0">
      <text>
        <t xml:space="preserve">6時間×13＋5時間×1
</t>
      </text>
    </comment>
    <comment ref="D27" authorId="0" shapeId="0">
      <text>
        <t>A勤C勤不可
夜勤は基本日曜日
場合によっては
月曜日も可</t>
      </text>
    </comment>
    <comment ref="D28" authorId="0" shapeId="0">
      <text>
        <t xml:space="preserve">Aはなるべく水曜
B,Dは不可
</t>
      </text>
    </comment>
  </commentList>
</comments>
</file>

<file path=xl/comments/comment3.xml><?xml version="1.0" encoding="utf-8"?>
<comments xmlns="http://schemas.openxmlformats.org/spreadsheetml/2006/main">
  <authors>
    <author>afcjapan</author>
  </authors>
  <commentList>
    <comment ref="D2" authorId="0" shapeId="0">
      <text>
        <t>日付を入力して下さい。</t>
      </text>
    </comment>
    <comment ref="B4" authorId="0" shapeId="0">
      <text>
        <t xml:space="preserve">土日はA勤なしでもOK
BDあり
</t>
      </text>
    </comment>
    <comment ref="C9" authorId="0" shapeId="0">
      <text>
        <t>A勤C勤不可
夜勤は基本日曜日
場合によっては
月曜日も可</t>
      </text>
    </comment>
    <comment ref="C10" authorId="0" shapeId="0">
      <text>
        <t>基本夜勤7勤</t>
      </text>
    </comment>
    <comment ref="C11" authorId="0" shapeId="0">
      <text>
        <t xml:space="preserve">最大15勤
</t>
      </text>
    </comment>
    <comment ref="C12" authorId="0" shapeId="0">
      <text>
        <t xml:space="preserve">B,Dは不可
</t>
      </text>
    </comment>
    <comment ref="C13" authorId="0" shapeId="0">
      <text>
        <t>B,Dは不可</t>
      </text>
    </comment>
    <comment ref="C14" authorId="0" shapeId="0">
      <text>
        <t>A,B,Dは不可</t>
      </text>
    </comment>
    <comment ref="C19" authorId="0" shapeId="0">
      <text>
        <t xml:space="preserve">6時間×13＋5時間×1
</t>
      </text>
    </comment>
  </commentList>
</comments>
</file>

<file path=xl/comments/comment4.xml><?xml version="1.0" encoding="utf-8"?>
<comments xmlns="http://schemas.openxmlformats.org/spreadsheetml/2006/main">
  <authors>
    <author>afcjapan</author>
  </authors>
  <commentList>
    <comment ref="E2" authorId="0" shapeId="0">
      <text>
        <t>日付を入力して下さい。</t>
      </text>
    </comment>
    <comment ref="B4" authorId="0" shapeId="0">
      <text>
        <t xml:space="preserve">土日はA勤なしでもOK
BDあり
</t>
      </text>
    </comment>
    <comment ref="D10" authorId="0" shapeId="0">
      <text>
        <t>A勤C勤不可
夜勤は基本日曜日
場合によっては
月曜日も可</t>
      </text>
    </comment>
    <comment ref="D11" authorId="0" shapeId="0">
      <text>
        <t>A勤C勤不可
夜勤は基本日曜日
場合によっては
月曜日も可</t>
      </text>
    </comment>
    <comment ref="D12" authorId="0" shapeId="0">
      <text>
        <t>基本夜勤7勤</t>
      </text>
    </comment>
    <comment ref="D13" authorId="0" shapeId="0">
      <text>
        <t>基本最大15勤</t>
      </text>
    </comment>
    <comment ref="D14" authorId="0" shapeId="0">
      <text>
        <t xml:space="preserve">Aはなるべく水曜
B,Dは不可
</t>
      </text>
    </comment>
    <comment ref="D15" authorId="0" shapeId="0">
      <text>
        <t>B,Dは不可</t>
      </text>
    </comment>
    <comment ref="D16" authorId="0" shapeId="0">
      <text>
        <t>A,B,Dは不可</t>
      </text>
    </comment>
    <comment ref="D22" authorId="0" shapeId="0">
      <text>
        <t xml:space="preserve">6時間×13＋5時間×1
</t>
      </text>
    </comment>
    <comment ref="D27" authorId="0" shapeId="0">
      <text>
        <t>A勤C勤不可
夜勤は基本日曜日
場合によっては
月曜日も可</t>
      </text>
    </comment>
    <comment ref="D28" authorId="0" shapeId="0">
      <text>
        <t xml:space="preserve">Aはなるべく水曜
B,Dは不可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BL62"/>
  <sheetViews>
    <sheetView tabSelected="1" topLeftCell="B1" zoomScale="75" zoomScaleNormal="120" workbookViewId="0">
      <pane xSplit="5" ySplit="5" topLeftCell="G6" activePane="bottomRight" state="frozen"/>
      <selection activeCell="B1" sqref="B1"/>
      <selection pane="topRight" activeCell="G1" sqref="G1"/>
      <selection pane="bottomLeft" activeCell="B6" sqref="B6"/>
      <selection pane="bottomRight" activeCell="S59" sqref="S59"/>
    </sheetView>
  </sheetViews>
  <sheetFormatPr baseColWidth="10" defaultColWidth="9" defaultRowHeight="17"/>
  <cols>
    <col width="6.5" customWidth="1" style="132" min="1" max="1"/>
    <col width="18.83203125" customWidth="1" style="132" min="2" max="2"/>
    <col width="22" customWidth="1" style="132" min="3" max="3"/>
    <col hidden="1" width="4.6640625" customWidth="1" style="132" min="4" max="6"/>
    <col width="4.6640625" customWidth="1" style="132" min="7" max="37"/>
    <col width="3.6640625" customWidth="1" style="132" min="38" max="38"/>
    <col width="8.33203125" customWidth="1" style="132" min="39" max="39"/>
    <col width="8.6640625" customWidth="1" style="132" min="40" max="46"/>
    <col width="8.33203125" customWidth="1" style="132" min="47" max="47"/>
    <col width="8" customWidth="1" style="132" min="48" max="48"/>
    <col width="8.33203125" customWidth="1" style="132" min="49" max="49"/>
    <col width="8.6640625" customWidth="1" style="132" min="50" max="50"/>
    <col width="10.33203125" customWidth="1" style="132" min="51" max="51"/>
    <col width="14.1640625" customWidth="1" style="132" min="52" max="52"/>
    <col width="11" customWidth="1" style="132" min="53" max="53"/>
    <col width="9" customWidth="1" style="132" min="54" max="16384"/>
  </cols>
  <sheetData>
    <row r="1" ht="7" customHeight="1" s="447">
      <c r="P1" s="177" t="n"/>
      <c r="R1" s="177" t="n"/>
    </row>
    <row r="2" ht="34" customHeight="1" s="447" thickBot="1">
      <c r="C2" s="133" t="inlineStr">
        <is>
          <t>シフト表</t>
        </is>
      </c>
      <c r="D2" s="133" t="n"/>
      <c r="E2" s="133" t="n"/>
      <c r="F2" s="133" t="n"/>
      <c r="G2" s="370" t="n">
        <v>46143</v>
      </c>
      <c r="K2" s="134" t="inlineStr">
        <is>
          <t>〜</t>
        </is>
      </c>
      <c r="L2" s="448">
        <f>EOMONTH(G2,0)</f>
        <v/>
      </c>
      <c r="P2" s="134" t="n"/>
      <c r="Q2" s="135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  <c r="AC2" s="134" t="n"/>
      <c r="AD2" s="134" t="n"/>
      <c r="AE2" s="134" t="n"/>
      <c r="AF2" s="134" t="n"/>
      <c r="AG2" s="134" t="n"/>
      <c r="AH2" s="134" t="n"/>
      <c r="AI2" s="134" t="n"/>
      <c r="AJ2" s="134" t="n"/>
      <c r="AK2" s="134" t="n"/>
      <c r="AN2" s="179" t="n"/>
      <c r="AO2" s="179" t="n"/>
      <c r="AS2" s="180" t="n"/>
    </row>
    <row r="3" ht="28" customHeight="1" s="447" thickBot="1">
      <c r="C3" s="446" t="n"/>
      <c r="D3" s="446" t="n"/>
      <c r="E3" s="446" t="n"/>
      <c r="F3" s="446" t="n"/>
      <c r="G3" s="138" t="n"/>
      <c r="H3" s="139" t="n"/>
      <c r="J3" s="139" t="n"/>
      <c r="K3" s="139" t="n"/>
      <c r="L3" s="139" t="n"/>
      <c r="M3" s="139" t="n"/>
      <c r="N3" s="140" t="n"/>
      <c r="O3" s="141" t="n"/>
      <c r="P3" s="142" t="n"/>
      <c r="Q3" s="143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43" t="n"/>
      <c r="AA3" s="143" t="n"/>
      <c r="AB3" s="143" t="n"/>
      <c r="AC3" s="396" t="n"/>
      <c r="AD3" s="346" t="inlineStr">
        <is>
          <t>はあとふる</t>
        </is>
      </c>
      <c r="AE3" s="449" t="n"/>
      <c r="AF3" s="449" t="n"/>
      <c r="AG3" s="449" t="n"/>
      <c r="AH3" s="449" t="n"/>
      <c r="AI3" s="449" t="n"/>
      <c r="AJ3" s="449" t="n"/>
      <c r="AK3" s="449" t="n"/>
      <c r="BA3" s="182">
        <f>MONTH(G2)</f>
        <v/>
      </c>
    </row>
    <row r="4" ht="27.75" customHeight="1" s="447">
      <c r="A4" s="183" t="n"/>
      <c r="B4" s="450" t="n"/>
      <c r="C4" s="451" t="n"/>
      <c r="D4" s="452">
        <f>E4-1</f>
        <v/>
      </c>
      <c r="E4" s="453">
        <f>F4-1</f>
        <v/>
      </c>
      <c r="F4" s="454">
        <f>G2-1</f>
        <v/>
      </c>
      <c r="G4" s="455">
        <f>G2</f>
        <v/>
      </c>
      <c r="H4" s="452">
        <f>G4+1</f>
        <v/>
      </c>
      <c r="I4" s="452">
        <f>H4+1</f>
        <v/>
      </c>
      <c r="J4" s="452">
        <f>I4+1</f>
        <v/>
      </c>
      <c r="K4" s="452">
        <f>J4+1</f>
        <v/>
      </c>
      <c r="L4" s="452">
        <f>K4+1</f>
        <v/>
      </c>
      <c r="M4" s="452">
        <f>L4+1</f>
        <v/>
      </c>
      <c r="N4" s="452">
        <f>M4+1</f>
        <v/>
      </c>
      <c r="O4" s="452">
        <f>N4+1</f>
        <v/>
      </c>
      <c r="P4" s="452">
        <f>O4+1</f>
        <v/>
      </c>
      <c r="Q4" s="452">
        <f>P4+1</f>
        <v/>
      </c>
      <c r="R4" s="452">
        <f>Q4+1</f>
        <v/>
      </c>
      <c r="S4" s="452">
        <f>R4+1</f>
        <v/>
      </c>
      <c r="T4" s="452">
        <f>S4+1</f>
        <v/>
      </c>
      <c r="U4" s="452">
        <f>T4+1</f>
        <v/>
      </c>
      <c r="V4" s="452">
        <f>U4+1</f>
        <v/>
      </c>
      <c r="W4" s="452">
        <f>V4+1</f>
        <v/>
      </c>
      <c r="X4" s="452">
        <f>W4+1</f>
        <v/>
      </c>
      <c r="Y4" s="452">
        <f>X4+1</f>
        <v/>
      </c>
      <c r="Z4" s="452">
        <f>Y4+1</f>
        <v/>
      </c>
      <c r="AA4" s="453">
        <f>Z4+1</f>
        <v/>
      </c>
      <c r="AB4" s="452">
        <f>AA4+1</f>
        <v/>
      </c>
      <c r="AC4" s="452">
        <f>AB4+1</f>
        <v/>
      </c>
      <c r="AD4" s="452">
        <f>AC4+1</f>
        <v/>
      </c>
      <c r="AE4" s="453">
        <f>AD4+1</f>
        <v/>
      </c>
      <c r="AF4" s="456">
        <f>AE4+1</f>
        <v/>
      </c>
      <c r="AG4" s="452">
        <f>AF4+1</f>
        <v/>
      </c>
      <c r="AH4" s="452">
        <f>AG4+1</f>
        <v/>
      </c>
      <c r="AI4" s="457">
        <f>AH4+1</f>
        <v/>
      </c>
      <c r="AJ4" s="453">
        <f>AI4+1</f>
        <v/>
      </c>
      <c r="AK4" s="454">
        <f>AJ4+1</f>
        <v/>
      </c>
      <c r="AL4" s="184" t="n"/>
      <c r="AN4" s="185" t="n"/>
      <c r="AO4" s="185" t="n"/>
      <c r="AP4" s="185" t="n"/>
      <c r="AQ4" s="185" t="n"/>
      <c r="AR4" s="185" t="n"/>
      <c r="AS4" s="185" t="n"/>
      <c r="AT4" s="185" t="n"/>
      <c r="AX4" s="185" t="n"/>
      <c r="AY4" s="185" t="n"/>
      <c r="AZ4" s="185" t="n"/>
    </row>
    <row r="5" ht="27.75" customHeight="1" s="447" thickBot="1">
      <c r="A5" s="186" t="n"/>
      <c r="B5" s="458" t="n"/>
      <c r="C5" s="459" t="n"/>
      <c r="D5" s="145">
        <f>TEXT(D4,"aaa")</f>
        <v/>
      </c>
      <c r="E5" s="145">
        <f>TEXT(E4,"aaa")</f>
        <v/>
      </c>
      <c r="F5" s="146">
        <f>TEXT(F4,"aaa")</f>
        <v/>
      </c>
      <c r="G5" s="286">
        <f>TEXT(G4,"aaa")</f>
        <v/>
      </c>
      <c r="H5" s="145">
        <f>TEXT(H4,"aaa")</f>
        <v/>
      </c>
      <c r="I5" s="145">
        <f>TEXT(I4,"aaa")</f>
        <v/>
      </c>
      <c r="J5" s="148">
        <f>TEXT(J4,"aaa")</f>
        <v/>
      </c>
      <c r="K5" s="148">
        <f>TEXT(K4,"aaa")</f>
        <v/>
      </c>
      <c r="L5" s="148">
        <f>TEXT(L4,"aaa")</f>
        <v/>
      </c>
      <c r="M5" s="145">
        <f>TEXT(M4,"aaa")</f>
        <v/>
      </c>
      <c r="N5" s="145">
        <f>TEXT(N4,"aaa")</f>
        <v/>
      </c>
      <c r="O5" s="145">
        <f>TEXT(O4,"aaa")</f>
        <v/>
      </c>
      <c r="P5" s="145">
        <f>TEXT(P4,"aaa")</f>
        <v/>
      </c>
      <c r="Q5" s="147">
        <f>TEXT(Q4,"aaa")</f>
        <v/>
      </c>
      <c r="R5" s="147">
        <f>TEXT(R4,"aaa")</f>
        <v/>
      </c>
      <c r="S5" s="145">
        <f>TEXT(S4,"aaa")</f>
        <v/>
      </c>
      <c r="T5" s="145">
        <f>TEXT(T4,"aaa")</f>
        <v/>
      </c>
      <c r="U5" s="147">
        <f>TEXT(U4,"aaa")</f>
        <v/>
      </c>
      <c r="V5" s="145">
        <f>TEXT(V4,"aaa")</f>
        <v/>
      </c>
      <c r="W5" s="145">
        <f>TEXT(W4,"aaa")</f>
        <v/>
      </c>
      <c r="X5" s="145">
        <f>TEXT(X4,"aaa")</f>
        <v/>
      </c>
      <c r="Y5" s="145">
        <f>TEXT(Y4,"aaa")</f>
        <v/>
      </c>
      <c r="Z5" s="147">
        <f>TEXT(Z4,"aaa")</f>
        <v/>
      </c>
      <c r="AA5" s="145">
        <f>TEXT(AA4,"aaa")</f>
        <v/>
      </c>
      <c r="AB5" s="145">
        <f>TEXT(AB4,"aaa")</f>
        <v/>
      </c>
      <c r="AC5" s="147">
        <f>TEXT(AC4,"aaa")</f>
        <v/>
      </c>
      <c r="AD5" s="145">
        <f>TEXT(AD4,"aaa")</f>
        <v/>
      </c>
      <c r="AE5" s="145">
        <f>TEXT(AE4,"aaa")</f>
        <v/>
      </c>
      <c r="AF5" s="145">
        <f>TEXT(AF4,"aaa")</f>
        <v/>
      </c>
      <c r="AG5" s="145">
        <f>TEXT(AG4,"aaa")</f>
        <v/>
      </c>
      <c r="AH5" s="149">
        <f>TEXT(AH4,"aaa")</f>
        <v/>
      </c>
      <c r="AI5" s="287">
        <f>TEXT(AI4,"aaa")</f>
        <v/>
      </c>
      <c r="AJ5" s="147">
        <f>TEXT(AJ4,"aaa")</f>
        <v/>
      </c>
      <c r="AK5" s="146">
        <f>TEXT(AK4,"aaa")</f>
        <v/>
      </c>
      <c r="AL5" s="188" t="n"/>
      <c r="AM5" s="272" t="inlineStr">
        <is>
          <t>Ａ</t>
        </is>
      </c>
      <c r="AN5" s="190" t="inlineStr">
        <is>
          <t>Ｂ</t>
        </is>
      </c>
      <c r="AO5" s="190" t="inlineStr">
        <is>
          <t>Ｄ</t>
        </is>
      </c>
      <c r="AP5" s="191" t="inlineStr">
        <is>
          <t>C</t>
        </is>
      </c>
      <c r="AQ5" s="192" t="inlineStr">
        <is>
          <t>夜</t>
        </is>
      </c>
      <c r="AR5" s="192" t="inlineStr">
        <is>
          <t>明</t>
        </is>
      </c>
      <c r="AS5" s="272" t="inlineStr">
        <is>
          <t>Ｅ</t>
        </is>
      </c>
      <c r="AT5" s="193" t="inlineStr">
        <is>
          <t>他</t>
        </is>
      </c>
      <c r="AU5" s="273" t="inlineStr">
        <is>
          <t>調1</t>
        </is>
      </c>
      <c r="AV5" s="274" t="inlineStr">
        <is>
          <t>調2</t>
        </is>
      </c>
      <c r="AW5" s="275" t="inlineStr">
        <is>
          <t>有</t>
        </is>
      </c>
      <c r="AX5" s="197" t="inlineStr">
        <is>
          <t>休</t>
        </is>
      </c>
      <c r="AY5" s="198" t="inlineStr">
        <is>
          <t>出勤計</t>
        </is>
      </c>
      <c r="AZ5" s="198" t="inlineStr">
        <is>
          <t>出勤上限</t>
        </is>
      </c>
      <c r="BA5" s="442" t="inlineStr">
        <is>
          <t>出勤日数
チェック</t>
        </is>
      </c>
      <c r="BC5" s="125" t="inlineStr">
        <is>
          <t>所定日数</t>
        </is>
      </c>
      <c r="BD5" s="125" t="inlineStr">
        <is>
          <t>有給</t>
        </is>
      </c>
      <c r="BE5" s="125" t="inlineStr">
        <is>
          <t>出勤可能日数</t>
        </is>
      </c>
      <c r="BF5" s="125" t="inlineStr">
        <is>
          <t>夜勤/明</t>
        </is>
      </c>
      <c r="BG5" s="125" t="inlineStr">
        <is>
          <t>調理</t>
        </is>
      </c>
      <c r="BH5" s="125" t="inlineStr">
        <is>
          <t>日勤可能数</t>
        </is>
      </c>
      <c r="BJ5" s="283" t="inlineStr">
        <is>
          <t>A</t>
        </is>
      </c>
      <c r="BK5" s="283" t="inlineStr">
        <is>
          <t>C</t>
        </is>
      </c>
      <c r="BL5" s="281" t="inlineStr">
        <is>
          <t>休</t>
        </is>
      </c>
    </row>
    <row r="6" ht="35.25" customHeight="1" s="447">
      <c r="A6" s="200" t="n"/>
      <c r="B6" s="151" t="inlineStr">
        <is>
          <t>管理者</t>
        </is>
      </c>
      <c r="C6" s="152" t="inlineStr">
        <is>
          <t>吉玉　薫</t>
        </is>
      </c>
      <c r="D6" s="337" t="n"/>
      <c r="E6" s="305" t="n"/>
      <c r="F6" s="305" t="n"/>
      <c r="G6" s="316" t="inlineStr">
        <is>
          <t>休</t>
        </is>
      </c>
      <c r="H6" s="317" t="inlineStr">
        <is>
          <t>休</t>
        </is>
      </c>
      <c r="I6" s="317" t="inlineStr">
        <is>
          <t>休</t>
        </is>
      </c>
      <c r="J6" s="317" t="inlineStr">
        <is>
          <t>休</t>
        </is>
      </c>
      <c r="K6" s="317" t="inlineStr">
        <is>
          <t>休</t>
        </is>
      </c>
      <c r="L6" s="317" t="inlineStr">
        <is>
          <t>夜</t>
        </is>
      </c>
      <c r="M6" s="317" t="inlineStr">
        <is>
          <t>明</t>
        </is>
      </c>
      <c r="N6" s="317" t="inlineStr">
        <is>
          <t>休</t>
        </is>
      </c>
      <c r="O6" s="317" t="inlineStr">
        <is>
          <t>休</t>
        </is>
      </c>
      <c r="P6" s="317" t="inlineStr">
        <is>
          <t>休</t>
        </is>
      </c>
      <c r="Q6" s="317" t="inlineStr">
        <is>
          <t>休</t>
        </is>
      </c>
      <c r="R6" s="317" t="inlineStr">
        <is>
          <t>Ｅ</t>
        </is>
      </c>
      <c r="S6" s="317" t="inlineStr">
        <is>
          <t>休</t>
        </is>
      </c>
      <c r="T6" s="317" t="inlineStr">
        <is>
          <t>休</t>
        </is>
      </c>
      <c r="U6" s="317" t="inlineStr">
        <is>
          <t>休</t>
        </is>
      </c>
      <c r="V6" s="317" t="inlineStr">
        <is>
          <t>Ｅ</t>
        </is>
      </c>
      <c r="W6" s="317" t="inlineStr">
        <is>
          <t>休</t>
        </is>
      </c>
      <c r="X6" s="317" t="inlineStr">
        <is>
          <t>Ｅ</t>
        </is>
      </c>
      <c r="Y6" s="317" t="inlineStr">
        <is>
          <t>休</t>
        </is>
      </c>
      <c r="Z6" s="317" t="inlineStr">
        <is>
          <t>夜</t>
        </is>
      </c>
      <c r="AA6" s="317" t="inlineStr">
        <is>
          <t>明</t>
        </is>
      </c>
      <c r="AB6" s="317" t="inlineStr">
        <is>
          <t>休</t>
        </is>
      </c>
      <c r="AC6" s="317" t="inlineStr">
        <is>
          <t>Ｅ</t>
        </is>
      </c>
      <c r="AD6" s="317" t="inlineStr">
        <is>
          <t>休</t>
        </is>
      </c>
      <c r="AE6" s="317" t="inlineStr">
        <is>
          <t>Ｅ</t>
        </is>
      </c>
      <c r="AF6" s="317" t="inlineStr">
        <is>
          <t>休</t>
        </is>
      </c>
      <c r="AG6" s="317" t="inlineStr">
        <is>
          <t>休</t>
        </is>
      </c>
      <c r="AH6" s="317" t="inlineStr">
        <is>
          <t>休</t>
        </is>
      </c>
      <c r="AI6" s="317" t="inlineStr">
        <is>
          <t>休</t>
        </is>
      </c>
      <c r="AJ6" s="317" t="inlineStr">
        <is>
          <t>休</t>
        </is>
      </c>
      <c r="AK6" s="153" t="inlineStr">
        <is>
          <t>Ｅ</t>
        </is>
      </c>
      <c r="AL6" s="204" t="n"/>
      <c r="AM6" s="206">
        <f>COUNTIF($G6:$AK6,"Ａ")</f>
        <v/>
      </c>
      <c r="AN6" s="206">
        <f>COUNTIF($G6:$AK6,"Ｂ")</f>
        <v/>
      </c>
      <c r="AO6" s="206">
        <f>COUNTIF($G6:$AK6,"Ｄ")</f>
        <v/>
      </c>
      <c r="AP6" s="206">
        <f>COUNTIF($G6:$AK6,"Ｃ")</f>
        <v/>
      </c>
      <c r="AQ6" s="206">
        <f>COUNTIF($G6:$AK6,"夜")</f>
        <v/>
      </c>
      <c r="AR6" s="206">
        <f>COUNTIF($G6:$AK6,"明")</f>
        <v/>
      </c>
      <c r="AS6" s="206">
        <f>+COUNTIF($G6:$AK6,"Ｅ")</f>
        <v/>
      </c>
      <c r="AT6" s="206">
        <f>COUNTIF($G6:$AK6,"研")+COUNTIF($G6:$AK6,"健")</f>
        <v/>
      </c>
      <c r="AU6" s="206">
        <f>COUNTIF($G6:$AK6,"調1")</f>
        <v/>
      </c>
      <c r="AV6" s="206">
        <f>COUNTIF($G6:$AK6,"調2")</f>
        <v/>
      </c>
      <c r="AW6" s="206">
        <f>COUNTIF($G6:$AK6,"有")</f>
        <v/>
      </c>
      <c r="AX6" s="206">
        <f>COUNTIF($G6:$AK6,"休")+COUNTIF($G6:$AK6,"希")</f>
        <v/>
      </c>
      <c r="AY6" s="206">
        <f>SUM(AM6:AW6)</f>
        <v/>
      </c>
      <c r="AZ6" s="206" t="n"/>
      <c r="BA6" s="134">
        <f>IF($BA$3=2,IF(AX6=8,"OK","NG"),IF(AX6=9,"OK","NG"))</f>
        <v/>
      </c>
      <c r="BC6" s="281" t="n">
        <v>19</v>
      </c>
      <c r="BD6" s="281" t="n"/>
      <c r="BE6" s="281">
        <f>BC6-BD6</f>
        <v/>
      </c>
      <c r="BF6" s="281" t="n">
        <v>18</v>
      </c>
      <c r="BG6" s="281" t="n">
        <v>1</v>
      </c>
      <c r="BH6" s="281">
        <f>BE6-BF6-BG6</f>
        <v/>
      </c>
      <c r="BJ6" s="283" t="n"/>
      <c r="BK6" s="283" t="n"/>
      <c r="BL6" s="281" t="n"/>
    </row>
    <row r="7" ht="35.25" customHeight="1" s="447">
      <c r="A7" s="200" t="n"/>
      <c r="B7" s="155" t="inlineStr">
        <is>
          <t>介護職員</t>
        </is>
      </c>
      <c r="C7" s="156" t="inlineStr">
        <is>
          <t>飯星　まゆみ</t>
        </is>
      </c>
      <c r="D7" s="337" t="n"/>
      <c r="E7" s="305" t="n"/>
      <c r="F7" s="305" t="n"/>
      <c r="G7" s="318" t="inlineStr">
        <is>
          <t>休</t>
        </is>
      </c>
      <c r="H7" s="319" t="inlineStr">
        <is>
          <t>夜</t>
        </is>
      </c>
      <c r="I7" s="319" t="inlineStr">
        <is>
          <t>明</t>
        </is>
      </c>
      <c r="J7" s="319" t="inlineStr">
        <is>
          <t>休</t>
        </is>
      </c>
      <c r="K7" s="319" t="inlineStr">
        <is>
          <t>夜</t>
        </is>
      </c>
      <c r="L7" s="319" t="inlineStr">
        <is>
          <t>明</t>
        </is>
      </c>
      <c r="M7" s="319" t="inlineStr">
        <is>
          <t>休</t>
        </is>
      </c>
      <c r="N7" s="319" t="inlineStr">
        <is>
          <t>Ｄ</t>
        </is>
      </c>
      <c r="O7" s="319" t="inlineStr">
        <is>
          <t>Ｄ</t>
        </is>
      </c>
      <c r="P7" s="319" t="inlineStr">
        <is>
          <t>Ｂ</t>
        </is>
      </c>
      <c r="Q7" s="319" t="inlineStr">
        <is>
          <t>Ｄ</t>
        </is>
      </c>
      <c r="R7" s="319" t="inlineStr">
        <is>
          <t>休</t>
        </is>
      </c>
      <c r="S7" s="319" t="inlineStr">
        <is>
          <t>夜</t>
        </is>
      </c>
      <c r="T7" s="319" t="inlineStr">
        <is>
          <t>明</t>
        </is>
      </c>
      <c r="U7" s="319" t="inlineStr">
        <is>
          <t>休</t>
        </is>
      </c>
      <c r="V7" s="319" t="inlineStr">
        <is>
          <t>Ｂ</t>
        </is>
      </c>
      <c r="W7" s="319" t="inlineStr">
        <is>
          <t>休</t>
        </is>
      </c>
      <c r="X7" s="319" t="inlineStr">
        <is>
          <t>夜</t>
        </is>
      </c>
      <c r="Y7" s="319" t="inlineStr">
        <is>
          <t>明</t>
        </is>
      </c>
      <c r="Z7" s="319" t="inlineStr">
        <is>
          <t>休</t>
        </is>
      </c>
      <c r="AA7" s="319" t="inlineStr">
        <is>
          <t>Ａ</t>
        </is>
      </c>
      <c r="AB7" s="319" t="inlineStr">
        <is>
          <t>休</t>
        </is>
      </c>
      <c r="AC7" s="319" t="inlineStr">
        <is>
          <t>夜</t>
        </is>
      </c>
      <c r="AD7" s="319" t="inlineStr">
        <is>
          <t>明</t>
        </is>
      </c>
      <c r="AE7" s="319" t="inlineStr">
        <is>
          <t>休</t>
        </is>
      </c>
      <c r="AF7" s="319" t="inlineStr">
        <is>
          <t>夜</t>
        </is>
      </c>
      <c r="AG7" s="319" t="inlineStr">
        <is>
          <t>明</t>
        </is>
      </c>
      <c r="AH7" s="319" t="inlineStr">
        <is>
          <t>Ａ</t>
        </is>
      </c>
      <c r="AI7" s="319" t="inlineStr">
        <is>
          <t>Ｂ</t>
        </is>
      </c>
      <c r="AJ7" s="319" t="inlineStr">
        <is>
          <t>Ｄ</t>
        </is>
      </c>
      <c r="AK7" s="153" t="inlineStr">
        <is>
          <t>Ａ</t>
        </is>
      </c>
      <c r="AL7" s="204" t="n"/>
      <c r="AM7" s="206">
        <f>COUNTIF($G7:$AK7,"Ａ")</f>
        <v/>
      </c>
      <c r="AN7" s="206">
        <f>COUNTIF($G7:$AK7,"Ｂ")</f>
        <v/>
      </c>
      <c r="AO7" s="206">
        <f>COUNTIF($G7:$AK7,"Ｄ")</f>
        <v/>
      </c>
      <c r="AP7" s="206">
        <f>COUNTIF($G7:$AK7,"Ｃ")</f>
        <v/>
      </c>
      <c r="AQ7" s="206">
        <f>COUNTIF($G7:$AK7,"夜")</f>
        <v/>
      </c>
      <c r="AR7" s="206">
        <f>COUNTIF($G7:$AK7,"明")</f>
        <v/>
      </c>
      <c r="AS7" s="206">
        <f>+COUNTIF($G7:$AK7,"Ｅ")</f>
        <v/>
      </c>
      <c r="AT7" s="206">
        <f>COUNTIF($G7:$AK7,"研")+COUNTIF($G7:$AK7,"健")</f>
        <v/>
      </c>
      <c r="AU7" s="206">
        <f>COUNTIF($G7:$AK7,"調1")</f>
        <v/>
      </c>
      <c r="AV7" s="206">
        <f>COUNTIF($G7:$AK7,"調2")</f>
        <v/>
      </c>
      <c r="AW7" s="206">
        <f>COUNTIF($G7:$AK7,"有")</f>
        <v/>
      </c>
      <c r="AX7" s="206">
        <f>COUNTIF($G7:$AK7,"休")+COUNTIF($G7:$AK7,"希")</f>
        <v/>
      </c>
      <c r="AY7" s="206">
        <f>SUM(AM7:AW7)</f>
        <v/>
      </c>
      <c r="AZ7" s="206" t="n"/>
      <c r="BA7" s="134">
        <f>IF($BA$3=2,IF(AX7=8,"OK","NG"),IF(AX7=9,"OK","NG"))</f>
        <v/>
      </c>
      <c r="BC7" s="281" t="n">
        <v>21</v>
      </c>
      <c r="BD7" s="281" t="n">
        <v>2</v>
      </c>
      <c r="BE7" s="281">
        <f>BC7-BD7</f>
        <v/>
      </c>
      <c r="BF7" s="281" t="n">
        <v>12</v>
      </c>
      <c r="BG7" s="281" t="n"/>
      <c r="BH7" s="281">
        <f>BE7-BF7-BG7</f>
        <v/>
      </c>
      <c r="BJ7" s="283" t="n"/>
      <c r="BK7" s="283" t="n"/>
      <c r="BL7" s="281" t="n"/>
    </row>
    <row r="8" ht="35.25" customHeight="1" s="447">
      <c r="A8" s="200" t="n"/>
      <c r="B8" s="155" t="inlineStr">
        <is>
          <t>介護職員</t>
        </is>
      </c>
      <c r="C8" s="156" t="inlineStr">
        <is>
          <t>興梠　道子</t>
        </is>
      </c>
      <c r="D8" s="305" t="n"/>
      <c r="E8" s="305" t="n"/>
      <c r="F8" s="305" t="n"/>
      <c r="G8" s="320" t="inlineStr">
        <is>
          <t>夜</t>
        </is>
      </c>
      <c r="H8" s="319" t="inlineStr">
        <is>
          <t>明</t>
        </is>
      </c>
      <c r="I8" s="319" t="inlineStr">
        <is>
          <t>休</t>
        </is>
      </c>
      <c r="J8" s="319" t="inlineStr">
        <is>
          <t>夜</t>
        </is>
      </c>
      <c r="K8" s="319" t="inlineStr">
        <is>
          <t>明</t>
        </is>
      </c>
      <c r="L8" s="319" t="inlineStr">
        <is>
          <t>休</t>
        </is>
      </c>
      <c r="M8" s="319" t="inlineStr">
        <is>
          <t>Ｂ</t>
        </is>
      </c>
      <c r="N8" s="319" t="inlineStr">
        <is>
          <t>休</t>
        </is>
      </c>
      <c r="O8" s="319" t="inlineStr">
        <is>
          <t>夜</t>
        </is>
      </c>
      <c r="P8" s="319" t="inlineStr">
        <is>
          <t>明</t>
        </is>
      </c>
      <c r="Q8" s="319" t="inlineStr">
        <is>
          <t>休</t>
        </is>
      </c>
      <c r="R8" s="319" t="inlineStr">
        <is>
          <t>夜</t>
        </is>
      </c>
      <c r="S8" s="319" t="inlineStr">
        <is>
          <t>明</t>
        </is>
      </c>
      <c r="T8" s="319" t="inlineStr">
        <is>
          <t>休</t>
        </is>
      </c>
      <c r="U8" s="319" t="inlineStr">
        <is>
          <t>夜</t>
        </is>
      </c>
      <c r="V8" s="319" t="inlineStr">
        <is>
          <t>明</t>
        </is>
      </c>
      <c r="W8" s="319" t="inlineStr">
        <is>
          <t>Ａ</t>
        </is>
      </c>
      <c r="X8" s="319" t="inlineStr">
        <is>
          <t>休</t>
        </is>
      </c>
      <c r="Y8" s="319" t="inlineStr">
        <is>
          <t>Ｄ</t>
        </is>
      </c>
      <c r="Z8" s="319" t="inlineStr">
        <is>
          <t>休</t>
        </is>
      </c>
      <c r="AA8" s="319" t="inlineStr">
        <is>
          <t>Ｄ</t>
        </is>
      </c>
      <c r="AB8" s="319" t="inlineStr">
        <is>
          <t>Ｂ</t>
        </is>
      </c>
      <c r="AC8" s="319" t="inlineStr">
        <is>
          <t>Ｄ</t>
        </is>
      </c>
      <c r="AD8" s="319" t="inlineStr">
        <is>
          <t>Ｄ</t>
        </is>
      </c>
      <c r="AE8" s="319" t="inlineStr">
        <is>
          <t>Ｂ</t>
        </is>
      </c>
      <c r="AF8" s="319" t="inlineStr">
        <is>
          <t>Ｂ</t>
        </is>
      </c>
      <c r="AG8" s="319" t="inlineStr">
        <is>
          <t>休</t>
        </is>
      </c>
      <c r="AH8" s="319" t="inlineStr">
        <is>
          <t>夜</t>
        </is>
      </c>
      <c r="AI8" s="319" t="inlineStr">
        <is>
          <t>明</t>
        </is>
      </c>
      <c r="AJ8" s="319" t="inlineStr">
        <is>
          <t>休</t>
        </is>
      </c>
      <c r="AK8" s="153" t="inlineStr">
        <is>
          <t>夜</t>
        </is>
      </c>
      <c r="AL8" s="204" t="n"/>
      <c r="AM8" s="206">
        <f>COUNTIF($G8:$AK8,"Ａ")</f>
        <v/>
      </c>
      <c r="AN8" s="206">
        <f>COUNTIF($G8:$AK8,"Ｂ")</f>
        <v/>
      </c>
      <c r="AO8" s="206">
        <f>COUNTIF($G8:$AK8,"Ｄ")</f>
        <v/>
      </c>
      <c r="AP8" s="206">
        <f>COUNTIF($G8:$AK8,"Ｃ")</f>
        <v/>
      </c>
      <c r="AQ8" s="206">
        <f>COUNTIF($G8:$AK8,"夜")</f>
        <v/>
      </c>
      <c r="AR8" s="206">
        <f>COUNTIF($G8:$AK8,"明")</f>
        <v/>
      </c>
      <c r="AS8" s="206">
        <f>+COUNTIF($G8:$AK8,"Ｅ")</f>
        <v/>
      </c>
      <c r="AT8" s="206">
        <f>COUNTIF($G8:$AK8,"研")+COUNTIF($G8:$AK8,"健")</f>
        <v/>
      </c>
      <c r="AU8" s="206">
        <f>COUNTIF($G8:$AK8,"調1")</f>
        <v/>
      </c>
      <c r="AV8" s="206">
        <f>COUNTIF($G8:$AK8,"調2")</f>
        <v/>
      </c>
      <c r="AW8" s="206">
        <f>COUNTIF($G8:$AK8,"有")</f>
        <v/>
      </c>
      <c r="AX8" s="206">
        <f>COUNTIF($G8:$AK8,"休")+COUNTIF($G8:$AK8,"希")</f>
        <v/>
      </c>
      <c r="AY8" s="206">
        <f>SUM(AM8:AW8)</f>
        <v/>
      </c>
      <c r="AZ8" s="206" t="n"/>
      <c r="BA8" s="134">
        <f>IF($BA$3=2,IF(AX8=8,"OK","NG"),IF(AX8=9,"OK","NG"))</f>
        <v/>
      </c>
      <c r="BC8" s="281" t="n">
        <v>0</v>
      </c>
      <c r="BD8" s="281" t="n"/>
      <c r="BE8" s="281">
        <f>BC8-BD8</f>
        <v/>
      </c>
      <c r="BF8" s="281" t="n"/>
      <c r="BG8" s="281" t="n"/>
      <c r="BH8" s="281">
        <f>BE8-BF8-BG8</f>
        <v/>
      </c>
      <c r="BJ8" s="283" t="n"/>
      <c r="BK8" s="283" t="n"/>
      <c r="BL8" s="281" t="n"/>
    </row>
    <row r="9" ht="36" customHeight="1" s="447">
      <c r="A9" s="200" t="n"/>
      <c r="B9" s="155" t="inlineStr">
        <is>
          <t>介護職員</t>
        </is>
      </c>
      <c r="C9" s="156" t="inlineStr">
        <is>
          <t>小椋　富美</t>
        </is>
      </c>
      <c r="D9" s="337" t="n"/>
      <c r="E9" s="338" t="n"/>
      <c r="F9" s="308" t="n"/>
      <c r="G9" s="318" t="inlineStr">
        <is>
          <t>Ｂ</t>
        </is>
      </c>
      <c r="H9" s="319" t="inlineStr">
        <is>
          <t>Ｂ</t>
        </is>
      </c>
      <c r="I9" s="319" t="inlineStr">
        <is>
          <t>Ｂ</t>
        </is>
      </c>
      <c r="J9" s="319" t="inlineStr">
        <is>
          <t>Ｂ</t>
        </is>
      </c>
      <c r="K9" s="319" t="inlineStr">
        <is>
          <t>Ｄ</t>
        </is>
      </c>
      <c r="L9" s="319" t="inlineStr">
        <is>
          <t>Ｂ</t>
        </is>
      </c>
      <c r="M9" s="319" t="inlineStr">
        <is>
          <t>休</t>
        </is>
      </c>
      <c r="N9" s="319" t="inlineStr">
        <is>
          <t>夜</t>
        </is>
      </c>
      <c r="O9" s="319" t="inlineStr">
        <is>
          <t>明</t>
        </is>
      </c>
      <c r="P9" s="319" t="inlineStr">
        <is>
          <t>休</t>
        </is>
      </c>
      <c r="Q9" s="319" t="inlineStr">
        <is>
          <t>調2</t>
        </is>
      </c>
      <c r="R9" s="319" t="inlineStr">
        <is>
          <t>Ｂ</t>
        </is>
      </c>
      <c r="S9" s="319" t="inlineStr">
        <is>
          <t>休</t>
        </is>
      </c>
      <c r="T9" s="319" t="inlineStr">
        <is>
          <t>夜</t>
        </is>
      </c>
      <c r="U9" s="319" t="inlineStr">
        <is>
          <t>明</t>
        </is>
      </c>
      <c r="V9" s="319" t="inlineStr">
        <is>
          <t>調2</t>
        </is>
      </c>
      <c r="W9" s="319" t="inlineStr">
        <is>
          <t>Ｂ</t>
        </is>
      </c>
      <c r="X9" s="319" t="inlineStr">
        <is>
          <t>Ｄ</t>
        </is>
      </c>
      <c r="Y9" s="319" t="inlineStr">
        <is>
          <t>休</t>
        </is>
      </c>
      <c r="Z9" s="319" t="inlineStr">
        <is>
          <t>Ｂ</t>
        </is>
      </c>
      <c r="AA9" s="319" t="inlineStr">
        <is>
          <t>休</t>
        </is>
      </c>
      <c r="AB9" s="319" t="inlineStr">
        <is>
          <t>休</t>
        </is>
      </c>
      <c r="AC9" s="319" t="inlineStr">
        <is>
          <t>休</t>
        </is>
      </c>
      <c r="AD9" s="319" t="inlineStr">
        <is>
          <t>夜</t>
        </is>
      </c>
      <c r="AE9" s="319" t="inlineStr">
        <is>
          <t>明</t>
        </is>
      </c>
      <c r="AF9" s="319" t="inlineStr">
        <is>
          <t>休</t>
        </is>
      </c>
      <c r="AG9" s="319" t="inlineStr">
        <is>
          <t>夜</t>
        </is>
      </c>
      <c r="AH9" s="319" t="inlineStr">
        <is>
          <t>明</t>
        </is>
      </c>
      <c r="AI9" s="319" t="inlineStr">
        <is>
          <t>休</t>
        </is>
      </c>
      <c r="AJ9" s="319" t="inlineStr">
        <is>
          <t>夜</t>
        </is>
      </c>
      <c r="AK9" s="162" t="inlineStr">
        <is>
          <t>明</t>
        </is>
      </c>
      <c r="AL9" s="204" t="n"/>
      <c r="AM9" s="206">
        <f>COUNTIF($G9:$AK9,"Ａ")</f>
        <v/>
      </c>
      <c r="AN9" s="206">
        <f>COUNTIF($G9:$AK9,"Ｂ")</f>
        <v/>
      </c>
      <c r="AO9" s="206">
        <f>COUNTIF($G9:$AK9,"Ｄ")</f>
        <v/>
      </c>
      <c r="AP9" s="206">
        <f>COUNTIF($G9:$AK9,"Ｃ")</f>
        <v/>
      </c>
      <c r="AQ9" s="206">
        <f>COUNTIF($G9:$AK9,"夜")</f>
        <v/>
      </c>
      <c r="AR9" s="206">
        <f>COUNTIF($G9:$AK9,"明")</f>
        <v/>
      </c>
      <c r="AS9" s="206">
        <f>+COUNTIF($G9:$AK9,"Ｅ")</f>
        <v/>
      </c>
      <c r="AT9" s="206">
        <f>COUNTIF($G9:$AK9,"研")+COUNTIF($G9:$AK9,"健")</f>
        <v/>
      </c>
      <c r="AU9" s="206">
        <f>COUNTIF($G9:$AK9,"調1")</f>
        <v/>
      </c>
      <c r="AV9" s="206">
        <f>COUNTIF($G9:$AK9,"調2")</f>
        <v/>
      </c>
      <c r="AW9" s="206">
        <f>COUNTIF($G9:$AK9,"有")</f>
        <v/>
      </c>
      <c r="AX9" s="206">
        <f>COUNTIF($G9:$AK9,"休")+COUNTIF($G9:$AK9,"希")</f>
        <v/>
      </c>
      <c r="AY9" s="206">
        <f>SUM(AM9:AW9)</f>
        <v/>
      </c>
      <c r="AZ9" s="206" t="n"/>
      <c r="BA9" s="134">
        <f>IF($BA$3=2,IF(AX9=8,"OK","NG"),IF(AX9=9,"OK","NG"))</f>
        <v/>
      </c>
      <c r="BC9" s="281" t="n">
        <v>21</v>
      </c>
      <c r="BD9" s="281" t="n"/>
      <c r="BE9" s="281">
        <f>BC9-BD9</f>
        <v/>
      </c>
      <c r="BF9" s="281" t="n">
        <v>8</v>
      </c>
      <c r="BG9" s="281" t="n">
        <v>1</v>
      </c>
      <c r="BH9" s="281">
        <f>BE9-BF9-BG9</f>
        <v/>
      </c>
      <c r="BJ9" s="283" t="n"/>
      <c r="BK9" s="283" t="n"/>
      <c r="BL9" s="281" t="n"/>
    </row>
    <row r="10" ht="36" customHeight="1" s="447">
      <c r="A10" s="200" t="n"/>
      <c r="B10" s="155" t="inlineStr">
        <is>
          <t>介護職員</t>
        </is>
      </c>
      <c r="C10" s="163" t="inlineStr">
        <is>
          <t>佐藤　いそみ</t>
        </is>
      </c>
      <c r="D10" s="305" t="n"/>
      <c r="E10" s="305" t="n"/>
      <c r="F10" s="305" t="n"/>
      <c r="G10" s="318" t="inlineStr">
        <is>
          <t>明</t>
        </is>
      </c>
      <c r="H10" s="319" t="inlineStr">
        <is>
          <t>休</t>
        </is>
      </c>
      <c r="I10" s="319" t="inlineStr">
        <is>
          <t>夜</t>
        </is>
      </c>
      <c r="J10" s="319" t="inlineStr">
        <is>
          <t>明</t>
        </is>
      </c>
      <c r="K10" s="319" t="inlineStr">
        <is>
          <t>休</t>
        </is>
      </c>
      <c r="L10" s="319" t="inlineStr">
        <is>
          <t>休</t>
        </is>
      </c>
      <c r="M10" s="319" t="inlineStr">
        <is>
          <t>休</t>
        </is>
      </c>
      <c r="N10" s="319" t="inlineStr">
        <is>
          <t>休</t>
        </is>
      </c>
      <c r="O10" s="319" t="inlineStr">
        <is>
          <t>休</t>
        </is>
      </c>
      <c r="P10" s="319" t="inlineStr">
        <is>
          <t>休</t>
        </is>
      </c>
      <c r="Q10" s="319" t="inlineStr">
        <is>
          <t>夜</t>
        </is>
      </c>
      <c r="R10" s="319" t="inlineStr">
        <is>
          <t>明</t>
        </is>
      </c>
      <c r="S10" s="319" t="inlineStr">
        <is>
          <t>休</t>
        </is>
      </c>
      <c r="T10" s="319" t="inlineStr">
        <is>
          <t>休</t>
        </is>
      </c>
      <c r="U10" s="319" t="inlineStr">
        <is>
          <t>休</t>
        </is>
      </c>
      <c r="V10" s="319" t="inlineStr">
        <is>
          <t>夜</t>
        </is>
      </c>
      <c r="W10" s="319" t="inlineStr">
        <is>
          <t>明</t>
        </is>
      </c>
      <c r="X10" s="319" t="inlineStr">
        <is>
          <t>休</t>
        </is>
      </c>
      <c r="Y10" s="319" t="inlineStr">
        <is>
          <t>夜</t>
        </is>
      </c>
      <c r="Z10" s="319" t="inlineStr">
        <is>
          <t>明</t>
        </is>
      </c>
      <c r="AA10" s="319" t="inlineStr">
        <is>
          <t>休</t>
        </is>
      </c>
      <c r="AB10" s="319" t="inlineStr">
        <is>
          <t>夜</t>
        </is>
      </c>
      <c r="AC10" s="319" t="inlineStr">
        <is>
          <t>明</t>
        </is>
      </c>
      <c r="AD10" s="319" t="inlineStr">
        <is>
          <t>休</t>
        </is>
      </c>
      <c r="AE10" s="319" t="inlineStr">
        <is>
          <t>夜</t>
        </is>
      </c>
      <c r="AF10" s="319" t="inlineStr">
        <is>
          <t>明</t>
        </is>
      </c>
      <c r="AG10" s="319" t="inlineStr">
        <is>
          <t>休</t>
        </is>
      </c>
      <c r="AH10" s="319" t="inlineStr">
        <is>
          <t>休</t>
        </is>
      </c>
      <c r="AI10" s="319" t="inlineStr">
        <is>
          <t>夜</t>
        </is>
      </c>
      <c r="AJ10" s="319" t="inlineStr">
        <is>
          <t>明</t>
        </is>
      </c>
      <c r="AK10" s="153" t="inlineStr">
        <is>
          <t>休</t>
        </is>
      </c>
      <c r="AL10" s="204" t="n"/>
      <c r="AM10" s="206">
        <f>COUNTIF($G10:$AK10,"Ａ")</f>
        <v/>
      </c>
      <c r="AN10" s="206">
        <f>COUNTIF($G10:$AK10,"Ｂ")</f>
        <v/>
      </c>
      <c r="AO10" s="206">
        <f>COUNTIF($G10:$AK10,"Ｄ")</f>
        <v/>
      </c>
      <c r="AP10" s="206">
        <f>COUNTIF($G10:$AK10,"Ｃ")</f>
        <v/>
      </c>
      <c r="AQ10" s="206">
        <f>COUNTIF($G10:$AK10,"夜")</f>
        <v/>
      </c>
      <c r="AR10" s="206">
        <f>COUNTIF($G10:$AK10,"明")</f>
        <v/>
      </c>
      <c r="AS10" s="206">
        <f>+COUNTIF($G10:$AK10,"Ｅ")</f>
        <v/>
      </c>
      <c r="AT10" s="206">
        <f>COUNTIF($G10:$AK10,"研")+COUNTIF($G10:$AK10,"健")</f>
        <v/>
      </c>
      <c r="AU10" s="206">
        <f>COUNTIF($G10:$AK10,"調1")</f>
        <v/>
      </c>
      <c r="AV10" s="206">
        <f>COUNTIF($G10:$AK10,"調2")</f>
        <v/>
      </c>
      <c r="AW10" s="206">
        <f>COUNTIF($G10:$AK10,"有")</f>
        <v/>
      </c>
      <c r="AX10" s="206">
        <f>COUNTIF($G10:$AK10,"休")+COUNTIF($G10:$AK10,"希")</f>
        <v/>
      </c>
      <c r="AY10" s="206">
        <f>SUM(AM10:AW10)</f>
        <v/>
      </c>
      <c r="AZ10" s="206" t="n">
        <v>14</v>
      </c>
      <c r="BA10" s="134">
        <f>IF(AY10&lt;=AZ10,"OK","NG")</f>
        <v/>
      </c>
      <c r="BC10" s="281" t="n">
        <v>14</v>
      </c>
      <c r="BD10" s="281" t="n"/>
      <c r="BE10" s="281">
        <f>BC10-BD10</f>
        <v/>
      </c>
      <c r="BF10" s="281" t="n">
        <v>14</v>
      </c>
      <c r="BG10" s="281" t="n"/>
      <c r="BH10" s="281">
        <f>BE10-BF10-BG10</f>
        <v/>
      </c>
      <c r="BJ10" s="283" t="n"/>
      <c r="BK10" s="283" t="n"/>
      <c r="BL10" s="281" t="n"/>
    </row>
    <row r="11" ht="36" customHeight="1" s="447">
      <c r="A11" s="200" t="n"/>
      <c r="B11" s="155" t="inlineStr">
        <is>
          <t>介護職員</t>
        </is>
      </c>
      <c r="C11" s="163" t="inlineStr">
        <is>
          <t>松本　きくみ</t>
        </is>
      </c>
      <c r="D11" s="305" t="n"/>
      <c r="E11" s="305" t="n"/>
      <c r="F11" s="310" t="n"/>
      <c r="G11" s="318" t="inlineStr">
        <is>
          <t>Ａ</t>
        </is>
      </c>
      <c r="H11" s="319" t="inlineStr">
        <is>
          <t>休</t>
        </is>
      </c>
      <c r="I11" s="319" t="inlineStr">
        <is>
          <t>休</t>
        </is>
      </c>
      <c r="J11" s="319" t="inlineStr">
        <is>
          <t>Ａ</t>
        </is>
      </c>
      <c r="K11" s="319" t="inlineStr">
        <is>
          <t>Ａ</t>
        </is>
      </c>
      <c r="L11" s="319" t="inlineStr">
        <is>
          <t>休</t>
        </is>
      </c>
      <c r="M11" s="319" t="inlineStr">
        <is>
          <t>夜</t>
        </is>
      </c>
      <c r="N11" s="319" t="inlineStr">
        <is>
          <t>明</t>
        </is>
      </c>
      <c r="O11" s="319" t="inlineStr">
        <is>
          <t>休</t>
        </is>
      </c>
      <c r="P11" s="319" t="inlineStr">
        <is>
          <t>夜</t>
        </is>
      </c>
      <c r="Q11" s="319" t="inlineStr">
        <is>
          <t>明</t>
        </is>
      </c>
      <c r="R11" s="319" t="inlineStr">
        <is>
          <t>休</t>
        </is>
      </c>
      <c r="S11" s="319" t="inlineStr">
        <is>
          <t>Ｄ</t>
        </is>
      </c>
      <c r="T11" s="319" t="inlineStr">
        <is>
          <t>Ｂ</t>
        </is>
      </c>
      <c r="U11" s="319" t="inlineStr">
        <is>
          <t>Ｂ</t>
        </is>
      </c>
      <c r="V11" s="319" t="inlineStr">
        <is>
          <t>休</t>
        </is>
      </c>
      <c r="W11" s="319" t="inlineStr">
        <is>
          <t>夜</t>
        </is>
      </c>
      <c r="X11" s="319" t="inlineStr">
        <is>
          <t>明</t>
        </is>
      </c>
      <c r="Y11" s="319" t="inlineStr">
        <is>
          <t>休</t>
        </is>
      </c>
      <c r="Z11" s="319" t="inlineStr">
        <is>
          <t>休</t>
        </is>
      </c>
      <c r="AA11" s="319" t="inlineStr">
        <is>
          <t>夜</t>
        </is>
      </c>
      <c r="AB11" s="319" t="inlineStr">
        <is>
          <t>明</t>
        </is>
      </c>
      <c r="AC11" s="319" t="inlineStr">
        <is>
          <t>Ａ</t>
        </is>
      </c>
      <c r="AD11" s="319" t="inlineStr">
        <is>
          <t>Ｃ</t>
        </is>
      </c>
      <c r="AE11" s="319" t="inlineStr">
        <is>
          <t>Ｃ</t>
        </is>
      </c>
      <c r="AF11" s="319" t="inlineStr">
        <is>
          <t>休</t>
        </is>
      </c>
      <c r="AG11" s="319" t="inlineStr">
        <is>
          <t>Ｄ</t>
        </is>
      </c>
      <c r="AH11" s="319" t="inlineStr">
        <is>
          <t>Ｄ</t>
        </is>
      </c>
      <c r="AI11" s="319" t="inlineStr">
        <is>
          <t>Ａ</t>
        </is>
      </c>
      <c r="AJ11" s="319" t="inlineStr">
        <is>
          <t>Ａ</t>
        </is>
      </c>
      <c r="AK11" s="158" t="inlineStr">
        <is>
          <t>Ｄ</t>
        </is>
      </c>
      <c r="AL11" s="204" t="n"/>
      <c r="AM11" s="206">
        <f>COUNTIF($G11:$AK11,"Ａ")</f>
        <v/>
      </c>
      <c r="AN11" s="206">
        <f>COUNTIF($G11:$AK11,"Ｂ")</f>
        <v/>
      </c>
      <c r="AO11" s="206">
        <f>COUNTIF($G11:$AK11,"Ｄ")</f>
        <v/>
      </c>
      <c r="AP11" s="206">
        <f>COUNTIF($G11:$AK11,"Ｃ")</f>
        <v/>
      </c>
      <c r="AQ11" s="206">
        <f>COUNTIF($G11:$AK11,"夜")</f>
        <v/>
      </c>
      <c r="AR11" s="206">
        <f>COUNTIF($G11:$AK11,"明")</f>
        <v/>
      </c>
      <c r="AS11" s="206">
        <f>+COUNTIF($G11:$AK11,"Ｅ")</f>
        <v/>
      </c>
      <c r="AT11" s="206">
        <f>COUNTIF($G11:$AK11,"研")+COUNTIF($G11:$AK11,"健")</f>
        <v/>
      </c>
      <c r="AU11" s="206">
        <f>COUNTIF($G11:$AK11,"調1")</f>
        <v/>
      </c>
      <c r="AV11" s="206">
        <f>COUNTIF($G11:$AK11,"調2")</f>
        <v/>
      </c>
      <c r="AW11" s="206">
        <f>COUNTIF($G11:$AK11,"有")</f>
        <v/>
      </c>
      <c r="AX11" s="206">
        <f>COUNTIF($G11:$AK11,"休")+COUNTIF($G11:$AK11,"希")</f>
        <v/>
      </c>
      <c r="AY11" s="206">
        <f>SUM(AM11:AW11)</f>
        <v/>
      </c>
      <c r="AZ11" s="206" t="n">
        <v>15</v>
      </c>
      <c r="BA11" s="134">
        <f>IF(AY11&lt;=AZ11,"OK","NG")</f>
        <v/>
      </c>
      <c r="BC11" s="281" t="n"/>
      <c r="BD11" s="281" t="n"/>
      <c r="BE11" s="281" t="n"/>
      <c r="BF11" s="281" t="n"/>
      <c r="BG11" s="281" t="n"/>
      <c r="BH11" s="281" t="n"/>
      <c r="BJ11" s="283" t="n"/>
      <c r="BK11" s="283" t="n"/>
      <c r="BL11" s="281" t="n"/>
    </row>
    <row r="12" ht="35.25" customHeight="1" s="447">
      <c r="A12" s="200" t="n"/>
      <c r="B12" s="155" t="inlineStr">
        <is>
          <t>介護職員</t>
        </is>
      </c>
      <c r="C12" s="156" t="inlineStr">
        <is>
          <t>甲斐　裕美子</t>
        </is>
      </c>
      <c r="D12" s="305" t="n"/>
      <c r="E12" s="305" t="n"/>
      <c r="F12" s="311" t="n"/>
      <c r="G12" s="319" t="inlineStr">
        <is>
          <t>休</t>
        </is>
      </c>
      <c r="H12" s="319" t="inlineStr">
        <is>
          <t>休</t>
        </is>
      </c>
      <c r="I12" s="319" t="inlineStr">
        <is>
          <t>休</t>
        </is>
      </c>
      <c r="J12" s="319" t="inlineStr">
        <is>
          <t>休</t>
        </is>
      </c>
      <c r="K12" s="319" t="inlineStr">
        <is>
          <t>Ｃ</t>
        </is>
      </c>
      <c r="L12" s="319" t="inlineStr">
        <is>
          <t>Ｃ</t>
        </is>
      </c>
      <c r="M12" s="319" t="inlineStr">
        <is>
          <t>休</t>
        </is>
      </c>
      <c r="N12" s="319" t="inlineStr">
        <is>
          <t>休</t>
        </is>
      </c>
      <c r="O12" s="319" t="inlineStr">
        <is>
          <t>休</t>
        </is>
      </c>
      <c r="P12" s="319" t="inlineStr">
        <is>
          <t>休</t>
        </is>
      </c>
      <c r="Q12" s="319" t="inlineStr">
        <is>
          <t>休</t>
        </is>
      </c>
      <c r="R12" s="319" t="inlineStr">
        <is>
          <t>Ａ</t>
        </is>
      </c>
      <c r="S12" s="319" t="inlineStr">
        <is>
          <t>Ｃ</t>
        </is>
      </c>
      <c r="T12" s="319" t="inlineStr">
        <is>
          <t>休</t>
        </is>
      </c>
      <c r="U12" s="319" t="inlineStr">
        <is>
          <t>Ａ</t>
        </is>
      </c>
      <c r="V12" s="319" t="inlineStr">
        <is>
          <t>Ｃ</t>
        </is>
      </c>
      <c r="W12" s="319" t="inlineStr">
        <is>
          <t>調2</t>
        </is>
      </c>
      <c r="X12" s="319" t="inlineStr">
        <is>
          <t>休</t>
        </is>
      </c>
      <c r="Y12" s="319" t="inlineStr">
        <is>
          <t>Ｃ</t>
        </is>
      </c>
      <c r="Z12" s="319" t="inlineStr">
        <is>
          <t>休</t>
        </is>
      </c>
      <c r="AA12" s="319" t="inlineStr">
        <is>
          <t>休</t>
        </is>
      </c>
      <c r="AB12" s="319" t="inlineStr">
        <is>
          <t>Ａ</t>
        </is>
      </c>
      <c r="AC12" s="319" t="inlineStr">
        <is>
          <t>休</t>
        </is>
      </c>
      <c r="AD12" s="319" t="inlineStr">
        <is>
          <t>休</t>
        </is>
      </c>
      <c r="AE12" s="319" t="inlineStr">
        <is>
          <t>休</t>
        </is>
      </c>
      <c r="AF12" s="319" t="inlineStr">
        <is>
          <t>休</t>
        </is>
      </c>
      <c r="AG12" s="319" t="inlineStr">
        <is>
          <t>Ｃ</t>
        </is>
      </c>
      <c r="AH12" s="319" t="inlineStr">
        <is>
          <t>Ｃ</t>
        </is>
      </c>
      <c r="AI12" s="319" t="inlineStr">
        <is>
          <t>Ｃ</t>
        </is>
      </c>
      <c r="AJ12" s="319" t="inlineStr">
        <is>
          <t>休</t>
        </is>
      </c>
      <c r="AK12" s="157" t="inlineStr">
        <is>
          <t>休</t>
        </is>
      </c>
      <c r="AL12" s="204" t="n"/>
      <c r="AM12" s="206">
        <f>COUNTIF($G12:$AK12,"Ａ")</f>
        <v/>
      </c>
      <c r="AN12" s="206">
        <f>COUNTIF($G12:$AK12,"Ｂ")</f>
        <v/>
      </c>
      <c r="AO12" s="206">
        <f>COUNTIF($G12:$AK12,"Ｄ")</f>
        <v/>
      </c>
      <c r="AP12" s="206">
        <f>COUNTIF($G12:$AK12,"Ｃ")</f>
        <v/>
      </c>
      <c r="AQ12" s="206">
        <f>COUNTIF($G12:$AK12,"夜")</f>
        <v/>
      </c>
      <c r="AR12" s="206">
        <f>COUNTIF($G12:$AK12,"明")</f>
        <v/>
      </c>
      <c r="AS12" s="206">
        <f>+COUNTIF($G12:$AK12,"Ｅ")</f>
        <v/>
      </c>
      <c r="AT12" s="206">
        <f>COUNTIF($G12:$AK12,"研")+COUNTIF($G12:$AK12,"健")</f>
        <v/>
      </c>
      <c r="AU12" s="206">
        <f>COUNTIF($G12:$AK12,"調1")</f>
        <v/>
      </c>
      <c r="AV12" s="206">
        <f>COUNTIF($G12:$AK12,"調2")</f>
        <v/>
      </c>
      <c r="AW12" s="206">
        <f>COUNTIF($G12:$AK12,"有")</f>
        <v/>
      </c>
      <c r="AX12" s="206">
        <f>COUNTIF($G12:$AK12,"休")+COUNTIF($G12:$AK12,"希")</f>
        <v/>
      </c>
      <c r="AY12" s="206">
        <f>SUM(AM12:AW12)</f>
        <v/>
      </c>
      <c r="AZ12" s="206" t="n">
        <v>15</v>
      </c>
      <c r="BA12" s="134">
        <f>IF(AY12&lt;=AZ12,"OK","NG")</f>
        <v/>
      </c>
      <c r="BC12" s="281" t="n">
        <v>17</v>
      </c>
      <c r="BD12" s="281" t="n"/>
      <c r="BE12" s="281">
        <f>BC12-BD12</f>
        <v/>
      </c>
      <c r="BF12" s="281" t="n"/>
      <c r="BG12" s="281" t="n">
        <v>1</v>
      </c>
      <c r="BH12" s="281">
        <f>BE12-BF12-BG12</f>
        <v/>
      </c>
      <c r="BJ12" s="283" t="n"/>
      <c r="BK12" s="283" t="n">
        <v>6</v>
      </c>
      <c r="BL12" s="281">
        <f>30-BC12</f>
        <v/>
      </c>
    </row>
    <row r="13" ht="35.25" customHeight="1" s="447">
      <c r="A13" s="200" t="n"/>
      <c r="B13" s="155" t="inlineStr">
        <is>
          <t>介護職員</t>
        </is>
      </c>
      <c r="C13" s="163" t="inlineStr">
        <is>
          <t>辰見　イツ子</t>
        </is>
      </c>
      <c r="D13" s="305" t="n"/>
      <c r="E13" s="305" t="n"/>
      <c r="F13" s="308" t="n"/>
      <c r="G13" s="321" t="inlineStr">
        <is>
          <t>休</t>
        </is>
      </c>
      <c r="H13" s="322" t="inlineStr">
        <is>
          <t>Ｃ</t>
        </is>
      </c>
      <c r="I13" s="322" t="inlineStr">
        <is>
          <t>休</t>
        </is>
      </c>
      <c r="J13" s="319" t="inlineStr">
        <is>
          <t>休</t>
        </is>
      </c>
      <c r="K13" s="319" t="inlineStr">
        <is>
          <t>休</t>
        </is>
      </c>
      <c r="L13" s="322" t="inlineStr">
        <is>
          <t>休</t>
        </is>
      </c>
      <c r="M13" s="323" t="inlineStr">
        <is>
          <t>休</t>
        </is>
      </c>
      <c r="N13" s="322" t="inlineStr">
        <is>
          <t>Ａ</t>
        </is>
      </c>
      <c r="O13" s="322" t="inlineStr">
        <is>
          <t>Ａ</t>
        </is>
      </c>
      <c r="P13" s="324" t="inlineStr">
        <is>
          <t>Ｃ</t>
        </is>
      </c>
      <c r="Q13" s="322" t="inlineStr">
        <is>
          <t>Ｃ</t>
        </is>
      </c>
      <c r="R13" s="322" t="inlineStr">
        <is>
          <t>休</t>
        </is>
      </c>
      <c r="S13" s="321" t="inlineStr">
        <is>
          <t>休</t>
        </is>
      </c>
      <c r="T13" s="323" t="inlineStr">
        <is>
          <t>Ａ</t>
        </is>
      </c>
      <c r="U13" s="321" t="inlineStr">
        <is>
          <t>Ｃ</t>
        </is>
      </c>
      <c r="V13" s="322" t="inlineStr">
        <is>
          <t>休</t>
        </is>
      </c>
      <c r="W13" s="322" t="inlineStr">
        <is>
          <t>Ｃ</t>
        </is>
      </c>
      <c r="X13" s="322" t="inlineStr">
        <is>
          <t>休</t>
        </is>
      </c>
      <c r="Y13" s="324" t="inlineStr">
        <is>
          <t>休</t>
        </is>
      </c>
      <c r="Z13" s="322" t="inlineStr">
        <is>
          <t>休</t>
        </is>
      </c>
      <c r="AA13" s="323" t="inlineStr">
        <is>
          <t>Ｃ</t>
        </is>
      </c>
      <c r="AB13" s="322" t="inlineStr">
        <is>
          <t>休</t>
        </is>
      </c>
      <c r="AC13" s="322" t="inlineStr">
        <is>
          <t>Ｃ</t>
        </is>
      </c>
      <c r="AD13" s="322" t="inlineStr">
        <is>
          <t>休</t>
        </is>
      </c>
      <c r="AE13" s="319" t="inlineStr">
        <is>
          <t>休</t>
        </is>
      </c>
      <c r="AF13" s="319" t="inlineStr">
        <is>
          <t>Ｃ</t>
        </is>
      </c>
      <c r="AG13" s="322" t="inlineStr">
        <is>
          <t>休</t>
        </is>
      </c>
      <c r="AH13" s="323" t="inlineStr">
        <is>
          <t>休</t>
        </is>
      </c>
      <c r="AI13" s="322" t="inlineStr">
        <is>
          <t>休</t>
        </is>
      </c>
      <c r="AJ13" s="322" t="inlineStr">
        <is>
          <t>休</t>
        </is>
      </c>
      <c r="AK13" s="285" t="inlineStr">
        <is>
          <t>Ｃ</t>
        </is>
      </c>
      <c r="AL13" s="204" t="n"/>
      <c r="AM13" s="206">
        <f>COUNTIF($G13:$AK13,"Ａ")</f>
        <v/>
      </c>
      <c r="AN13" s="206">
        <f>COUNTIF($G13:$AK13,"Ｂ")</f>
        <v/>
      </c>
      <c r="AO13" s="206">
        <f>COUNTIF($G13:$AK13,"Ｄ")</f>
        <v/>
      </c>
      <c r="AP13" s="206">
        <f>COUNTIF($G13:$AK13,"Ｃ")</f>
        <v/>
      </c>
      <c r="AQ13" s="206">
        <f>COUNTIF($G13:$AK13,"夜")</f>
        <v/>
      </c>
      <c r="AR13" s="206">
        <f>COUNTIF($G13:$AK13,"明")</f>
        <v/>
      </c>
      <c r="AS13" s="206">
        <f>+COUNTIF($G13:$AK13,"Ｅ")</f>
        <v/>
      </c>
      <c r="AT13" s="206">
        <f>COUNTIF($G13:$AK13,"研")+COUNTIF($G13:$AK13,"健")</f>
        <v/>
      </c>
      <c r="AU13" s="206">
        <f>COUNTIF($G13:$AK13,"調1")</f>
        <v/>
      </c>
      <c r="AV13" s="206">
        <f>COUNTIF($G13:$AK13,"調2")</f>
        <v/>
      </c>
      <c r="AW13" s="206">
        <f>COUNTIF($G13:$AK13,"有")</f>
        <v/>
      </c>
      <c r="AX13" s="206">
        <f>COUNTIF($G13:$AK13,"休")+COUNTIF($G13:$AK13,"希")</f>
        <v/>
      </c>
      <c r="AY13" s="206">
        <f>SUM(AM13:AW13)</f>
        <v/>
      </c>
      <c r="AZ13" s="206" t="n">
        <v>15</v>
      </c>
      <c r="BA13" s="134">
        <f>IF(AY13&lt;=AZ13,"OK","NG")</f>
        <v/>
      </c>
      <c r="BC13" s="281" t="n">
        <v>18</v>
      </c>
      <c r="BD13" s="281" t="n">
        <v>2</v>
      </c>
      <c r="BE13" s="281">
        <f>BC13-BD13</f>
        <v/>
      </c>
      <c r="BF13" s="281" t="n"/>
      <c r="BG13" s="281" t="n"/>
      <c r="BH13" s="281">
        <f>BE13-BF13-BG13</f>
        <v/>
      </c>
      <c r="BJ13" s="283" t="n"/>
      <c r="BK13" s="283" t="n">
        <v>7</v>
      </c>
      <c r="BL13" s="281">
        <f>30-BC13</f>
        <v/>
      </c>
    </row>
    <row r="14" ht="35.25" customHeight="1" s="447">
      <c r="A14" s="200" t="n"/>
      <c r="B14" s="155" t="inlineStr">
        <is>
          <t>介護職員</t>
        </is>
      </c>
      <c r="C14" s="163" t="inlineStr">
        <is>
          <t>甲斐　静幸</t>
        </is>
      </c>
      <c r="D14" s="338" t="n"/>
      <c r="E14" s="305" t="n"/>
      <c r="F14" s="308" t="n"/>
      <c r="G14" s="325" t="inlineStr">
        <is>
          <t>Ｃ</t>
        </is>
      </c>
      <c r="H14" s="322" t="inlineStr">
        <is>
          <t>休</t>
        </is>
      </c>
      <c r="I14" s="322" t="inlineStr">
        <is>
          <t>Ｃ</t>
        </is>
      </c>
      <c r="J14" s="322" t="inlineStr">
        <is>
          <t>Ｃ</t>
        </is>
      </c>
      <c r="K14" s="323" t="inlineStr">
        <is>
          <t>休</t>
        </is>
      </c>
      <c r="L14" s="321" t="inlineStr">
        <is>
          <t>休</t>
        </is>
      </c>
      <c r="M14" s="321" t="inlineStr">
        <is>
          <t>Ｃ</t>
        </is>
      </c>
      <c r="N14" s="322" t="inlineStr">
        <is>
          <t>Ｃ</t>
        </is>
      </c>
      <c r="O14" s="322" t="inlineStr">
        <is>
          <t>Ｃ</t>
        </is>
      </c>
      <c r="P14" s="322" t="inlineStr">
        <is>
          <t>休</t>
        </is>
      </c>
      <c r="Q14" s="322" t="inlineStr">
        <is>
          <t>休</t>
        </is>
      </c>
      <c r="R14" s="322" t="inlineStr">
        <is>
          <t>Ｃ</t>
        </is>
      </c>
      <c r="S14" s="322" t="inlineStr">
        <is>
          <t>休</t>
        </is>
      </c>
      <c r="T14" s="322" t="inlineStr">
        <is>
          <t>Ｃ</t>
        </is>
      </c>
      <c r="U14" s="322" t="inlineStr">
        <is>
          <t>休</t>
        </is>
      </c>
      <c r="V14" s="322" t="inlineStr">
        <is>
          <t>休</t>
        </is>
      </c>
      <c r="W14" s="322" t="inlineStr">
        <is>
          <t>休</t>
        </is>
      </c>
      <c r="X14" s="322" t="inlineStr">
        <is>
          <t>Ｃ</t>
        </is>
      </c>
      <c r="Y14" s="323" t="inlineStr">
        <is>
          <t>休</t>
        </is>
      </c>
      <c r="Z14" s="322" t="inlineStr">
        <is>
          <t>Ｃ</t>
        </is>
      </c>
      <c r="AA14" s="322" t="inlineStr">
        <is>
          <t>休</t>
        </is>
      </c>
      <c r="AB14" s="322" t="inlineStr">
        <is>
          <t>Ｃ</t>
        </is>
      </c>
      <c r="AC14" s="322" t="inlineStr">
        <is>
          <t>休</t>
        </is>
      </c>
      <c r="AD14" s="322" t="inlineStr">
        <is>
          <t>休</t>
        </is>
      </c>
      <c r="AE14" s="323" t="inlineStr">
        <is>
          <t>休</t>
        </is>
      </c>
      <c r="AF14" s="323" t="inlineStr">
        <is>
          <t>休</t>
        </is>
      </c>
      <c r="AG14" s="322" t="inlineStr">
        <is>
          <t>休</t>
        </is>
      </c>
      <c r="AH14" s="322" t="inlineStr">
        <is>
          <t>休</t>
        </is>
      </c>
      <c r="AI14" s="322" t="inlineStr">
        <is>
          <t>休</t>
        </is>
      </c>
      <c r="AJ14" s="322" t="inlineStr">
        <is>
          <t>Ｃ</t>
        </is>
      </c>
      <c r="AK14" s="285" t="inlineStr">
        <is>
          <t>休</t>
        </is>
      </c>
      <c r="AL14" s="204" t="n"/>
      <c r="AM14" s="206">
        <f>COUNTIF($G14:$AK14,"Ａ")</f>
        <v/>
      </c>
      <c r="AN14" s="206">
        <f>COUNTIF($G14:$AK14,"Ｂ")</f>
        <v/>
      </c>
      <c r="AO14" s="206">
        <f>COUNTIF($G14:$AK14,"Ｄ")</f>
        <v/>
      </c>
      <c r="AP14" s="206">
        <f>COUNTIF($G14:$AK14,"Ｃ")</f>
        <v/>
      </c>
      <c r="AQ14" s="206">
        <f>COUNTIF($G14:$AK14,"夜")</f>
        <v/>
      </c>
      <c r="AR14" s="206">
        <f>COUNTIF($G14:$AK14,"明")</f>
        <v/>
      </c>
      <c r="AS14" s="206">
        <f>+COUNTIF($G14:$AK14,"Ｅ")</f>
        <v/>
      </c>
      <c r="AT14" s="206">
        <f>COUNTIF($G14:$AK14,"研")+COUNTIF($G14:$AK14,"健")</f>
        <v/>
      </c>
      <c r="AU14" s="206">
        <f>COUNTIF($G14:$AK14,"調1")</f>
        <v/>
      </c>
      <c r="AV14" s="206">
        <f>COUNTIF($G14:$AK14,"調2")</f>
        <v/>
      </c>
      <c r="AW14" s="206">
        <f>COUNTIF($G14:$AK14,"有")</f>
        <v/>
      </c>
      <c r="AX14" s="206">
        <f>COUNTIF($G14:$AK14,"休")+COUNTIF($G14:$AK14,"希")</f>
        <v/>
      </c>
      <c r="AY14" s="206">
        <f>SUM(AM14:AW14)</f>
        <v/>
      </c>
      <c r="AZ14" s="206" t="n">
        <v>15</v>
      </c>
      <c r="BA14" s="134">
        <f>IF(AY14&lt;=AZ14,"OK","NG")</f>
        <v/>
      </c>
      <c r="BC14" s="281" t="n">
        <v>17</v>
      </c>
      <c r="BD14" s="281" t="n"/>
      <c r="BE14" s="281">
        <f>BC14-BD14</f>
        <v/>
      </c>
      <c r="BF14" s="281" t="n"/>
      <c r="BG14" s="281" t="n"/>
      <c r="BH14" s="281">
        <f>BE14-BF14-BG14</f>
        <v/>
      </c>
      <c r="BJ14" s="283" t="n"/>
      <c r="BK14" s="283" t="n">
        <v>17</v>
      </c>
      <c r="BL14" s="281">
        <f>30-BC14</f>
        <v/>
      </c>
    </row>
    <row r="15" ht="35.25" customHeight="1" s="447">
      <c r="A15" s="200" t="n"/>
      <c r="B15" s="155" t="inlineStr">
        <is>
          <t>計画作成担当者</t>
        </is>
      </c>
      <c r="C15" s="156" t="inlineStr">
        <is>
          <t>渡邊　哲也</t>
        </is>
      </c>
      <c r="D15" s="338" t="n"/>
      <c r="E15" s="305" t="n"/>
      <c r="F15" s="311" t="n"/>
      <c r="G15" s="326" t="inlineStr">
        <is>
          <t>Ｅ</t>
        </is>
      </c>
      <c r="H15" s="327" t="inlineStr">
        <is>
          <t>Ｅ</t>
        </is>
      </c>
      <c r="I15" s="319" t="inlineStr">
        <is>
          <t>休</t>
        </is>
      </c>
      <c r="J15" s="319" t="inlineStr">
        <is>
          <t>Ｅ</t>
        </is>
      </c>
      <c r="K15" s="319" t="inlineStr">
        <is>
          <t>Ｅ</t>
        </is>
      </c>
      <c r="L15" s="319" t="inlineStr">
        <is>
          <t>Ｅ</t>
        </is>
      </c>
      <c r="M15" s="319" t="inlineStr">
        <is>
          <t>休</t>
        </is>
      </c>
      <c r="N15" s="319" t="inlineStr">
        <is>
          <t>Ｅ</t>
        </is>
      </c>
      <c r="O15" s="319" t="inlineStr">
        <is>
          <t>Ｅ</t>
        </is>
      </c>
      <c r="P15" s="319" t="inlineStr">
        <is>
          <t>休</t>
        </is>
      </c>
      <c r="Q15" s="319" t="inlineStr">
        <is>
          <t>Ｅ</t>
        </is>
      </c>
      <c r="R15" s="319" t="inlineStr">
        <is>
          <t>Ｅ</t>
        </is>
      </c>
      <c r="S15" s="319" t="inlineStr">
        <is>
          <t>休</t>
        </is>
      </c>
      <c r="T15" s="319" t="inlineStr">
        <is>
          <t>休</t>
        </is>
      </c>
      <c r="U15" s="319" t="inlineStr">
        <is>
          <t>休</t>
        </is>
      </c>
      <c r="V15" s="319" t="inlineStr">
        <is>
          <t>Ｅ</t>
        </is>
      </c>
      <c r="W15" s="319" t="inlineStr">
        <is>
          <t>Ｅ</t>
        </is>
      </c>
      <c r="X15" s="319" t="inlineStr">
        <is>
          <t>Ｅ</t>
        </is>
      </c>
      <c r="Y15" s="319" t="inlineStr">
        <is>
          <t>休</t>
        </is>
      </c>
      <c r="Z15" s="319" t="inlineStr">
        <is>
          <t>Ｅ</t>
        </is>
      </c>
      <c r="AA15" s="327" t="inlineStr">
        <is>
          <t>Ｅ</t>
        </is>
      </c>
      <c r="AB15" s="319" t="inlineStr">
        <is>
          <t>Ｅ</t>
        </is>
      </c>
      <c r="AC15" s="319" t="inlineStr">
        <is>
          <t>Ｅ</t>
        </is>
      </c>
      <c r="AD15" s="319" t="inlineStr">
        <is>
          <t>休</t>
        </is>
      </c>
      <c r="AE15" s="319" t="inlineStr">
        <is>
          <t>休</t>
        </is>
      </c>
      <c r="AF15" s="319" t="inlineStr">
        <is>
          <t>Ｅ</t>
        </is>
      </c>
      <c r="AG15" s="319" t="inlineStr">
        <is>
          <t>Ｅ</t>
        </is>
      </c>
      <c r="AH15" s="327" t="inlineStr">
        <is>
          <t>Ｅ</t>
        </is>
      </c>
      <c r="AI15" s="327" t="inlineStr">
        <is>
          <t>Ｅ</t>
        </is>
      </c>
      <c r="AJ15" s="319" t="inlineStr">
        <is>
          <t>Ｅ</t>
        </is>
      </c>
      <c r="AK15" s="157" t="inlineStr">
        <is>
          <t>Ｅ</t>
        </is>
      </c>
      <c r="AL15" s="204" t="n"/>
      <c r="AM15" s="206">
        <f>COUNTIF($G15:$AK15,"Ａ")</f>
        <v/>
      </c>
      <c r="AN15" s="206">
        <f>COUNTIF($G15:$AK15,"Ｂ")</f>
        <v/>
      </c>
      <c r="AO15" s="206">
        <f>COUNTIF($G15:$AK15,"Ｄ")</f>
        <v/>
      </c>
      <c r="AP15" s="206">
        <f>COUNTIF($G15:$AK15,"Ｃ")</f>
        <v/>
      </c>
      <c r="AQ15" s="206">
        <f>COUNTIF($G15:$AK15,"夜")</f>
        <v/>
      </c>
      <c r="AR15" s="206">
        <f>COUNTIF($G15:$AK15,"明")</f>
        <v/>
      </c>
      <c r="AS15" s="206">
        <f>+COUNTIF($G15:$AK15,"Ｅ")</f>
        <v/>
      </c>
      <c r="AT15" s="206">
        <f>COUNTIF($G15:$AK15,"研")+COUNTIF($G15:$AK15,"健")</f>
        <v/>
      </c>
      <c r="AU15" s="206">
        <f>COUNTIF($G15:$AK15,"調1")</f>
        <v/>
      </c>
      <c r="AV15" s="206">
        <f>COUNTIF($G15:$AK15,"調2")</f>
        <v/>
      </c>
      <c r="AW15" s="206">
        <f>COUNTIF($G15:$AK15,"有")</f>
        <v/>
      </c>
      <c r="AX15" s="206">
        <f>COUNTIF($G15:$AK15,"休")+COUNTIF($G15:$AK15,"希")</f>
        <v/>
      </c>
      <c r="AY15" s="206">
        <f>SUM(AM15:AW15)</f>
        <v/>
      </c>
      <c r="AZ15" s="206" t="n"/>
      <c r="BA15" s="134">
        <f>IF($BA$3=2,IF(AX15=8,"OK","NG"),IF(AX15=9,"OK","NG"))</f>
        <v/>
      </c>
      <c r="BC15" s="281" t="n">
        <v>10</v>
      </c>
      <c r="BD15" s="281" t="n"/>
      <c r="BE15" s="281">
        <f>BC15-BD15</f>
        <v/>
      </c>
      <c r="BF15" s="281" t="n">
        <v>8</v>
      </c>
      <c r="BG15" s="281" t="n"/>
      <c r="BH15" s="281">
        <f>BE15-BF15-BG15</f>
        <v/>
      </c>
      <c r="BJ15" s="283" t="n"/>
      <c r="BK15" s="283" t="n"/>
      <c r="BL15" s="281" t="n"/>
    </row>
    <row r="16" ht="35.25" customHeight="1" s="447">
      <c r="A16" s="200" t="n"/>
      <c r="B16" s="155" t="inlineStr">
        <is>
          <t>機能訓練指導員</t>
        </is>
      </c>
      <c r="C16" s="163" t="inlineStr">
        <is>
          <t>甲斐　充代</t>
        </is>
      </c>
      <c r="D16" s="305" t="n"/>
      <c r="E16" s="305" t="n"/>
      <c r="F16" s="311" t="n"/>
      <c r="G16" s="318" t="inlineStr">
        <is>
          <t>Ｄ</t>
        </is>
      </c>
      <c r="H16" s="319" t="inlineStr">
        <is>
          <t>Ｄ</t>
        </is>
      </c>
      <c r="I16" s="319" t="inlineStr">
        <is>
          <t>休</t>
        </is>
      </c>
      <c r="J16" s="319" t="inlineStr">
        <is>
          <t>休</t>
        </is>
      </c>
      <c r="K16" s="319" t="inlineStr">
        <is>
          <t>休</t>
        </is>
      </c>
      <c r="L16" s="319" t="inlineStr">
        <is>
          <t>Ａ</t>
        </is>
      </c>
      <c r="M16" s="319" t="inlineStr">
        <is>
          <t>Ｄ</t>
        </is>
      </c>
      <c r="N16" s="319" t="inlineStr">
        <is>
          <t>Ｂ</t>
        </is>
      </c>
      <c r="O16" s="319" t="inlineStr">
        <is>
          <t>Ｂ</t>
        </is>
      </c>
      <c r="P16" s="319" t="inlineStr">
        <is>
          <t>Ａ</t>
        </is>
      </c>
      <c r="Q16" s="319" t="inlineStr">
        <is>
          <t>Ａ</t>
        </is>
      </c>
      <c r="R16" s="319" t="inlineStr">
        <is>
          <t>休</t>
        </is>
      </c>
      <c r="S16" s="319" t="inlineStr">
        <is>
          <t>Ｂ</t>
        </is>
      </c>
      <c r="T16" s="319" t="inlineStr">
        <is>
          <t>Ｄ</t>
        </is>
      </c>
      <c r="U16" s="319" t="inlineStr">
        <is>
          <t>休</t>
        </is>
      </c>
      <c r="V16" s="319" t="inlineStr">
        <is>
          <t>Ｄ</t>
        </is>
      </c>
      <c r="W16" s="319" t="inlineStr">
        <is>
          <t>休</t>
        </is>
      </c>
      <c r="X16" s="319" t="inlineStr">
        <is>
          <t>Ａ</t>
        </is>
      </c>
      <c r="Y16" s="319" t="inlineStr">
        <is>
          <t>Ａ</t>
        </is>
      </c>
      <c r="Z16" s="319" t="inlineStr">
        <is>
          <t>Ｄ</t>
        </is>
      </c>
      <c r="AA16" s="319" t="inlineStr">
        <is>
          <t>Ｂ</t>
        </is>
      </c>
      <c r="AB16" s="319" t="inlineStr">
        <is>
          <t>Ｄ</t>
        </is>
      </c>
      <c r="AC16" s="319" t="inlineStr">
        <is>
          <t>Ｂ</t>
        </is>
      </c>
      <c r="AD16" s="319" t="inlineStr">
        <is>
          <t>休</t>
        </is>
      </c>
      <c r="AE16" s="319" t="inlineStr">
        <is>
          <t>Ｄ</t>
        </is>
      </c>
      <c r="AF16" s="319" t="inlineStr">
        <is>
          <t>Ａ</t>
        </is>
      </c>
      <c r="AG16" s="319" t="inlineStr">
        <is>
          <t>Ａ</t>
        </is>
      </c>
      <c r="AH16" s="319" t="inlineStr">
        <is>
          <t>休</t>
        </is>
      </c>
      <c r="AI16" s="319" t="inlineStr">
        <is>
          <t>Ｄ</t>
        </is>
      </c>
      <c r="AJ16" s="319" t="inlineStr">
        <is>
          <t>休</t>
        </is>
      </c>
      <c r="AK16" s="157" t="inlineStr">
        <is>
          <t>Ｂ</t>
        </is>
      </c>
      <c r="AL16" s="204" t="n"/>
      <c r="AM16" s="206">
        <f>COUNTIF($G16:$AK16,"Ａ")</f>
        <v/>
      </c>
      <c r="AN16" s="206">
        <f>COUNTIF($G16:$AK16,"Ｂ")</f>
        <v/>
      </c>
      <c r="AO16" s="206">
        <f>COUNTIF($G16:$AK16,"Ｄ")</f>
        <v/>
      </c>
      <c r="AP16" s="206">
        <f>COUNTIF($G16:$AK16,"Ｃ")</f>
        <v/>
      </c>
      <c r="AQ16" s="206">
        <f>COUNTIF($G16:$AK16,"夜")</f>
        <v/>
      </c>
      <c r="AR16" s="206">
        <f>COUNTIF($G16:$AK16,"明")</f>
        <v/>
      </c>
      <c r="AS16" s="206">
        <f>+COUNTIF($G16:$AK16,"Ｅ")</f>
        <v/>
      </c>
      <c r="AT16" s="206">
        <f>COUNTIF($G16:$AK16,"研")+COUNTIF($G16:$AK16,"健")</f>
        <v/>
      </c>
      <c r="AU16" s="206">
        <f>COUNTIF($G16:$AK16,"調1")</f>
        <v/>
      </c>
      <c r="AV16" s="206">
        <f>COUNTIF($G16:$AK16,"調2")</f>
        <v/>
      </c>
      <c r="AW16" s="206">
        <f>COUNTIF($G16:$AK16,"有")</f>
        <v/>
      </c>
      <c r="AX16" s="206">
        <f>COUNTIF($G16:$AK16,"休")+COUNTIF($G16:$AK16,"希")</f>
        <v/>
      </c>
      <c r="AY16" s="206">
        <f>SUM(AM16:AW16)</f>
        <v/>
      </c>
      <c r="AZ16" s="206" t="n"/>
      <c r="BA16" s="134">
        <f>IF($BA$3=2,IF(AX16=8,"OK","NG"),IF(AX16=9,"OK","NG"))</f>
        <v/>
      </c>
      <c r="BC16" s="281" t="n">
        <v>21</v>
      </c>
      <c r="BD16" s="281" t="n"/>
      <c r="BE16" s="281">
        <f>BC16-BD16</f>
        <v/>
      </c>
      <c r="BF16" s="281" t="n"/>
      <c r="BG16" s="281" t="n"/>
      <c r="BH16" s="281">
        <f>BE16-BF16-BG16</f>
        <v/>
      </c>
      <c r="BJ16" s="283" t="n"/>
      <c r="BK16" s="283" t="n"/>
      <c r="BL16" s="281" t="n"/>
    </row>
    <row r="17" ht="35.25" customHeight="1" s="447">
      <c r="A17" s="200" t="n"/>
      <c r="B17" s="155" t="inlineStr">
        <is>
          <t>生活相談員</t>
        </is>
      </c>
      <c r="C17" s="163" t="inlineStr">
        <is>
          <t>田上　元美</t>
        </is>
      </c>
      <c r="D17" s="305" t="n"/>
      <c r="E17" s="305" t="n"/>
      <c r="F17" s="305" t="n"/>
      <c r="G17" s="318" t="inlineStr">
        <is>
          <t>休</t>
        </is>
      </c>
      <c r="H17" s="319" t="inlineStr">
        <is>
          <t>Ａ</t>
        </is>
      </c>
      <c r="I17" s="319" t="inlineStr">
        <is>
          <t>Ｄ</t>
        </is>
      </c>
      <c r="J17" s="319" t="inlineStr">
        <is>
          <t>Ｄ</t>
        </is>
      </c>
      <c r="K17" s="319" t="inlineStr">
        <is>
          <t>Ｂ</t>
        </is>
      </c>
      <c r="L17" s="319" t="inlineStr">
        <is>
          <t>Ｄ</t>
        </is>
      </c>
      <c r="M17" s="319" t="inlineStr">
        <is>
          <t>Ａ</t>
        </is>
      </c>
      <c r="N17" s="319" t="inlineStr">
        <is>
          <t>休</t>
        </is>
      </c>
      <c r="O17" s="319" t="inlineStr">
        <is>
          <t>休</t>
        </is>
      </c>
      <c r="P17" s="319" t="inlineStr">
        <is>
          <t>Ｄ</t>
        </is>
      </c>
      <c r="Q17" s="319" t="inlineStr">
        <is>
          <t>Ｂ</t>
        </is>
      </c>
      <c r="R17" s="319" t="inlineStr">
        <is>
          <t>Ｄ</t>
        </is>
      </c>
      <c r="S17" s="319" t="inlineStr">
        <is>
          <t>Ａ</t>
        </is>
      </c>
      <c r="T17" s="319" t="inlineStr">
        <is>
          <t>休</t>
        </is>
      </c>
      <c r="U17" s="319" t="inlineStr">
        <is>
          <t>Ｄ</t>
        </is>
      </c>
      <c r="V17" s="319" t="inlineStr">
        <is>
          <t>Ａ</t>
        </is>
      </c>
      <c r="W17" s="319" t="inlineStr">
        <is>
          <t>Ｄ</t>
        </is>
      </c>
      <c r="X17" s="319" t="inlineStr">
        <is>
          <t>Ｂ</t>
        </is>
      </c>
      <c r="Y17" s="319" t="inlineStr">
        <is>
          <t>Ｂ</t>
        </is>
      </c>
      <c r="Z17" s="319" t="inlineStr">
        <is>
          <t>Ａ</t>
        </is>
      </c>
      <c r="AA17" s="319" t="inlineStr">
        <is>
          <t>休</t>
        </is>
      </c>
      <c r="AB17" s="319" t="inlineStr">
        <is>
          <t>休</t>
        </is>
      </c>
      <c r="AC17" s="319" t="inlineStr">
        <is>
          <t>休</t>
        </is>
      </c>
      <c r="AD17" s="319" t="inlineStr">
        <is>
          <t>Ｂ</t>
        </is>
      </c>
      <c r="AE17" s="319" t="inlineStr">
        <is>
          <t>Ａ</t>
        </is>
      </c>
      <c r="AF17" s="319" t="inlineStr">
        <is>
          <t>Ｄ</t>
        </is>
      </c>
      <c r="AG17" s="319" t="inlineStr">
        <is>
          <t>Ｂ</t>
        </is>
      </c>
      <c r="AH17" s="319" t="inlineStr">
        <is>
          <t>Ｂ</t>
        </is>
      </c>
      <c r="AI17" s="319" t="inlineStr">
        <is>
          <t>休</t>
        </is>
      </c>
      <c r="AJ17" s="319" t="inlineStr">
        <is>
          <t>Ｂ</t>
        </is>
      </c>
      <c r="AK17" s="153" t="inlineStr">
        <is>
          <t>休</t>
        </is>
      </c>
      <c r="AL17" s="204" t="n"/>
      <c r="AM17" s="206">
        <f>COUNTIF($G17:$AK17,"Ａ")</f>
        <v/>
      </c>
      <c r="AN17" s="206">
        <f>COUNTIF($G17:$AK17,"Ｂ")</f>
        <v/>
      </c>
      <c r="AO17" s="206">
        <f>COUNTIF($G17:$AK17,"Ｄ")</f>
        <v/>
      </c>
      <c r="AP17" s="206">
        <f>COUNTIF($G17:$AK17,"Ｃ")</f>
        <v/>
      </c>
      <c r="AQ17" s="206">
        <f>COUNTIF($G17:$AK17,"夜")</f>
        <v/>
      </c>
      <c r="AR17" s="206">
        <f>COUNTIF($G17:$AK17,"明")</f>
        <v/>
      </c>
      <c r="AS17" s="206">
        <f>+COUNTIF($G17:$AK17,"Ｅ")</f>
        <v/>
      </c>
      <c r="AT17" s="206">
        <f>COUNTIF($G17:$AK17,"研")+COUNTIF($G17:$AK17,"健")</f>
        <v/>
      </c>
      <c r="AU17" s="206">
        <f>COUNTIF($G17:$AK17,"調1")</f>
        <v/>
      </c>
      <c r="AV17" s="206">
        <f>COUNTIF($G17:$AK17,"調2")</f>
        <v/>
      </c>
      <c r="AW17" s="206">
        <f>COUNTIF($G17:$AK17,"有")</f>
        <v/>
      </c>
      <c r="AX17" s="206">
        <f>COUNTIF($G17:$AK17,"休")+COUNTIF($G17:$AK17,"希")</f>
        <v/>
      </c>
      <c r="AY17" s="206">
        <f>SUM(AM17:AW17)</f>
        <v/>
      </c>
      <c r="AZ17" s="206" t="n"/>
      <c r="BA17" s="134">
        <f>IF($BA$3=2,IF(AX17=8,"OK","NG"),IF(AX17=9,"OK","NG"))</f>
        <v/>
      </c>
      <c r="BC17" s="281" t="n">
        <v>21</v>
      </c>
      <c r="BD17" s="281" t="n"/>
      <c r="BE17" s="281">
        <f>BC17-BD17</f>
        <v/>
      </c>
      <c r="BF17" s="281" t="n"/>
      <c r="BG17" s="281" t="n"/>
      <c r="BH17" s="281">
        <f>BE17-BF17-BG17</f>
        <v/>
      </c>
      <c r="BJ17" s="283" t="n"/>
      <c r="BK17" s="283" t="n"/>
      <c r="BL17" s="281" t="n"/>
    </row>
    <row r="18" ht="35.25" customHeight="1" s="447">
      <c r="A18" s="200" t="n"/>
      <c r="B18" s="155" t="inlineStr">
        <is>
          <t>看護職員</t>
        </is>
      </c>
      <c r="C18" s="163" t="inlineStr">
        <is>
          <t>甲斐　千代美</t>
        </is>
      </c>
      <c r="D18" s="305" t="n"/>
      <c r="E18" s="305" t="n"/>
      <c r="F18" s="305" t="n"/>
      <c r="G18" s="318" t="inlineStr">
        <is>
          <t>Ｅ</t>
        </is>
      </c>
      <c r="H18" s="319" t="inlineStr">
        <is>
          <t>有</t>
        </is>
      </c>
      <c r="I18" s="319" t="inlineStr">
        <is>
          <t>休</t>
        </is>
      </c>
      <c r="J18" s="319" t="inlineStr">
        <is>
          <t>Ｅ</t>
        </is>
      </c>
      <c r="K18" s="319" t="inlineStr">
        <is>
          <t>Ｅ</t>
        </is>
      </c>
      <c r="L18" s="319" t="inlineStr">
        <is>
          <t>Ｅ</t>
        </is>
      </c>
      <c r="M18" s="319" t="inlineStr">
        <is>
          <t>Ｅ</t>
        </is>
      </c>
      <c r="N18" s="319" t="inlineStr">
        <is>
          <t>Ｅ</t>
        </is>
      </c>
      <c r="O18" s="319" t="inlineStr">
        <is>
          <t>休</t>
        </is>
      </c>
      <c r="P18" s="319" t="inlineStr">
        <is>
          <t>休</t>
        </is>
      </c>
      <c r="Q18" s="319" t="inlineStr">
        <is>
          <t>Ｅ</t>
        </is>
      </c>
      <c r="R18" s="319" t="inlineStr">
        <is>
          <t>Ｅ</t>
        </is>
      </c>
      <c r="S18" s="319" t="inlineStr">
        <is>
          <t>Ｅ</t>
        </is>
      </c>
      <c r="T18" s="319" t="inlineStr">
        <is>
          <t>Ｅ</t>
        </is>
      </c>
      <c r="U18" s="319" t="inlineStr">
        <is>
          <t>Ｅ</t>
        </is>
      </c>
      <c r="V18" s="319" t="inlineStr">
        <is>
          <t>休</t>
        </is>
      </c>
      <c r="W18" s="319" t="inlineStr">
        <is>
          <t>休</t>
        </is>
      </c>
      <c r="X18" s="319" t="inlineStr">
        <is>
          <t>Ｅ</t>
        </is>
      </c>
      <c r="Y18" s="319" t="inlineStr">
        <is>
          <t>Ｅ</t>
        </is>
      </c>
      <c r="Z18" s="319" t="inlineStr">
        <is>
          <t>Ｅ</t>
        </is>
      </c>
      <c r="AA18" s="319" t="inlineStr">
        <is>
          <t>Ｅ</t>
        </is>
      </c>
      <c r="AB18" s="319" t="inlineStr">
        <is>
          <t>Ｅ</t>
        </is>
      </c>
      <c r="AC18" s="319" t="inlineStr">
        <is>
          <t>休</t>
        </is>
      </c>
      <c r="AD18" s="319" t="inlineStr">
        <is>
          <t>休</t>
        </is>
      </c>
      <c r="AE18" s="319" t="inlineStr">
        <is>
          <t>Ｅ</t>
        </is>
      </c>
      <c r="AF18" s="319" t="inlineStr">
        <is>
          <t>Ｅ</t>
        </is>
      </c>
      <c r="AG18" s="319" t="inlineStr">
        <is>
          <t>Ｅ</t>
        </is>
      </c>
      <c r="AH18" s="319" t="inlineStr">
        <is>
          <t>Ｅ</t>
        </is>
      </c>
      <c r="AI18" s="319" t="inlineStr">
        <is>
          <t>Ｅ</t>
        </is>
      </c>
      <c r="AJ18" s="319" t="inlineStr">
        <is>
          <t>休</t>
        </is>
      </c>
      <c r="AK18" s="153" t="inlineStr">
        <is>
          <t>休</t>
        </is>
      </c>
      <c r="AL18" s="204" t="n"/>
      <c r="AM18" s="206">
        <f>COUNTIF($G18:$AK18,"Ａ")</f>
        <v/>
      </c>
      <c r="AN18" s="206">
        <f>COUNTIF($G18:$AK18,"Ｂ")</f>
        <v/>
      </c>
      <c r="AO18" s="206">
        <f>COUNTIF($G18:$AK18,"Ｄ")</f>
        <v/>
      </c>
      <c r="AP18" s="206">
        <f>COUNTIF($G18:$AK18,"Ｃ")</f>
        <v/>
      </c>
      <c r="AQ18" s="206">
        <f>COUNTIF($G18:$AK18,"夜")</f>
        <v/>
      </c>
      <c r="AR18" s="206">
        <f>COUNTIF($G18:$AK18,"明")</f>
        <v/>
      </c>
      <c r="AS18" s="206">
        <f>+COUNTIF($G18:$AK18,"Ｅ")</f>
        <v/>
      </c>
      <c r="AT18" s="206">
        <f>COUNTIF($G18:$AK18,"研")+COUNTIF($G18:$AK18,"健")</f>
        <v/>
      </c>
      <c r="AU18" s="206">
        <f>COUNTIF($G18:$AK18,"調1")</f>
        <v/>
      </c>
      <c r="AV18" s="206">
        <f>COUNTIF($G18:$AK18,"調2")</f>
        <v/>
      </c>
      <c r="AW18" s="206">
        <f>COUNTIF($G18:$AK18,"有")</f>
        <v/>
      </c>
      <c r="AX18" s="206">
        <f>COUNTIF($G18:$AK18,"休")+COUNTIF($G18:$AK18,"希")</f>
        <v/>
      </c>
      <c r="AY18" s="206">
        <f>SUM(AM18:AW18)</f>
        <v/>
      </c>
      <c r="AZ18" s="206" t="n"/>
      <c r="BA18" s="134">
        <f>IF($BA$3=2,IF(AX18=8,"OK","NG"),IF(AX18=9,"OK","NG"))</f>
        <v/>
      </c>
      <c r="BC18" s="281">
        <f>SUM(BC6:BC17)</f>
        <v/>
      </c>
      <c r="BD18" s="281">
        <f>SUM(BD6:BD17)</f>
        <v/>
      </c>
      <c r="BE18" s="281">
        <f>SUM(BE6:BE17)</f>
        <v/>
      </c>
      <c r="BF18" s="281">
        <f>SUM(BF6:BF17)</f>
        <v/>
      </c>
      <c r="BG18" s="281">
        <f>SUM(BG6:BG17)</f>
        <v/>
      </c>
      <c r="BH18" s="281">
        <f>SUM(BH6:BH17)</f>
        <v/>
      </c>
      <c r="BI18" s="281">
        <f>SUM(BI6:BI17)</f>
        <v/>
      </c>
      <c r="BJ18" s="281">
        <f>SUM(BJ6:BJ17)</f>
        <v/>
      </c>
      <c r="BK18" s="281">
        <f>SUM(BK6:BK17)</f>
        <v/>
      </c>
      <c r="BL18" s="281" t="n"/>
    </row>
    <row r="19" ht="35.25" customHeight="1" s="447" thickBot="1">
      <c r="A19" s="200" t="n"/>
      <c r="B19" s="165" t="inlineStr">
        <is>
          <t>事務職員</t>
        </is>
      </c>
      <c r="C19" s="166" t="inlineStr">
        <is>
          <t>椎葉　玲子</t>
        </is>
      </c>
      <c r="D19" s="305" t="n"/>
      <c r="E19" s="305" t="n"/>
      <c r="F19" s="305" t="n"/>
      <c r="G19" s="328" t="inlineStr">
        <is>
          <t>Ｅ</t>
        </is>
      </c>
      <c r="H19" s="319" t="inlineStr">
        <is>
          <t>休</t>
        </is>
      </c>
      <c r="I19" s="319" t="inlineStr">
        <is>
          <t>休</t>
        </is>
      </c>
      <c r="J19" s="319" t="inlineStr">
        <is>
          <t>Ｅ</t>
        </is>
      </c>
      <c r="K19" s="319" t="inlineStr">
        <is>
          <t>Ｅ</t>
        </is>
      </c>
      <c r="L19" s="319" t="inlineStr">
        <is>
          <t>Ｅ</t>
        </is>
      </c>
      <c r="M19" s="319" t="inlineStr">
        <is>
          <t>Ｅ</t>
        </is>
      </c>
      <c r="N19" s="319" t="inlineStr">
        <is>
          <t>Ｅ</t>
        </is>
      </c>
      <c r="O19" s="319" t="inlineStr">
        <is>
          <t>休</t>
        </is>
      </c>
      <c r="P19" s="319" t="inlineStr">
        <is>
          <t>休</t>
        </is>
      </c>
      <c r="Q19" s="319" t="inlineStr">
        <is>
          <t>Ｅ</t>
        </is>
      </c>
      <c r="R19" s="319" t="inlineStr">
        <is>
          <t>Ｅ</t>
        </is>
      </c>
      <c r="S19" s="319" t="inlineStr">
        <is>
          <t>Ｅ</t>
        </is>
      </c>
      <c r="T19" s="319" t="inlineStr">
        <is>
          <t>Ｅ</t>
        </is>
      </c>
      <c r="U19" s="319" t="inlineStr">
        <is>
          <t>Ｅ</t>
        </is>
      </c>
      <c r="V19" s="319" t="inlineStr">
        <is>
          <t>休</t>
        </is>
      </c>
      <c r="W19" s="319" t="inlineStr">
        <is>
          <t>休</t>
        </is>
      </c>
      <c r="X19" s="319" t="inlineStr">
        <is>
          <t>Ｅ</t>
        </is>
      </c>
      <c r="Y19" s="319" t="inlineStr">
        <is>
          <t>Ｅ</t>
        </is>
      </c>
      <c r="Z19" s="319" t="inlineStr">
        <is>
          <t>Ｅ</t>
        </is>
      </c>
      <c r="AA19" s="319" t="inlineStr">
        <is>
          <t>Ｅ</t>
        </is>
      </c>
      <c r="AB19" s="319" t="inlineStr">
        <is>
          <t>休</t>
        </is>
      </c>
      <c r="AC19" s="319" t="inlineStr">
        <is>
          <t>休</t>
        </is>
      </c>
      <c r="AD19" s="319" t="inlineStr">
        <is>
          <t>休</t>
        </is>
      </c>
      <c r="AE19" s="319" t="inlineStr">
        <is>
          <t>休</t>
        </is>
      </c>
      <c r="AF19" s="329" t="inlineStr">
        <is>
          <t>休</t>
        </is>
      </c>
      <c r="AG19" s="319" t="inlineStr">
        <is>
          <t>休</t>
        </is>
      </c>
      <c r="AH19" s="319" t="inlineStr">
        <is>
          <t>休</t>
        </is>
      </c>
      <c r="AI19" s="319" t="inlineStr">
        <is>
          <t>休</t>
        </is>
      </c>
      <c r="AJ19" s="319" t="inlineStr">
        <is>
          <t>休</t>
        </is>
      </c>
      <c r="AK19" s="153" t="inlineStr">
        <is>
          <t>休</t>
        </is>
      </c>
      <c r="AL19" s="204" t="n"/>
      <c r="AM19" s="206">
        <f>COUNTIF($G19:$AK19,"Ａ")</f>
        <v/>
      </c>
      <c r="AN19" s="206">
        <f>COUNTIF($G19:$AK19,"Ｂ")</f>
        <v/>
      </c>
      <c r="AO19" s="206">
        <f>COUNTIF($G19:$AK19,"Ｄ")</f>
        <v/>
      </c>
      <c r="AP19" s="206">
        <f>COUNTIF($G19:$AK19,"Ｃ")</f>
        <v/>
      </c>
      <c r="AQ19" s="206">
        <f>COUNTIF($G19:$AK19,"夜")</f>
        <v/>
      </c>
      <c r="AR19" s="206">
        <f>COUNTIF($G19:$AK19,"明")</f>
        <v/>
      </c>
      <c r="AS19" s="206">
        <f>+COUNTIF($G19:$AK19,"Ｅ")</f>
        <v/>
      </c>
      <c r="AT19" s="206">
        <f>COUNTIF($G19:$AK19,"研")+COUNTIF($G19:$AK19,"健")</f>
        <v/>
      </c>
      <c r="AU19" s="206">
        <f>COUNTIF($G19:$AK19,"調1")</f>
        <v/>
      </c>
      <c r="AV19" s="206">
        <f>COUNTIF($G19:$AK19,"調2")</f>
        <v/>
      </c>
      <c r="AW19" s="206">
        <f>COUNTIF($G19:$AK19,"有")</f>
        <v/>
      </c>
      <c r="AX19" s="206">
        <f>COUNTIF($G19:$AK19,"休")+COUNTIF($G19:$AK19,"希")</f>
        <v/>
      </c>
      <c r="AY19" s="206">
        <f>SUM(AM19:AW19)</f>
        <v/>
      </c>
      <c r="AZ19" s="206" t="n">
        <v>15</v>
      </c>
      <c r="BA19" s="134">
        <f>IF(AY19&lt;=AZ19,"OK","NG")</f>
        <v/>
      </c>
      <c r="BC19" s="282" t="inlineStr">
        <is>
          <t>A</t>
        </is>
      </c>
      <c r="BD19" s="280" t="n">
        <v>25</v>
      </c>
      <c r="BE19" s="280" t="n"/>
      <c r="BH19" s="283">
        <f>SUM(BF18:BH18)</f>
        <v/>
      </c>
    </row>
    <row r="20" ht="35.25" customHeight="1" s="447">
      <c r="A20" s="200" t="n"/>
      <c r="B20" s="151" t="inlineStr">
        <is>
          <t>調理職員</t>
        </is>
      </c>
      <c r="C20" s="152" t="inlineStr">
        <is>
          <t>堀  カズ子</t>
        </is>
      </c>
      <c r="D20" s="339" t="n"/>
      <c r="E20" s="340" t="n"/>
      <c r="F20" s="314" t="n"/>
      <c r="G20" s="330" t="inlineStr">
        <is>
          <t>休</t>
        </is>
      </c>
      <c r="H20" s="317" t="inlineStr">
        <is>
          <t>調1</t>
        </is>
      </c>
      <c r="I20" s="317" t="inlineStr">
        <is>
          <t>調1</t>
        </is>
      </c>
      <c r="J20" s="317" t="inlineStr">
        <is>
          <t>調1</t>
        </is>
      </c>
      <c r="K20" s="317" t="inlineStr">
        <is>
          <t>調1</t>
        </is>
      </c>
      <c r="L20" s="317" t="inlineStr">
        <is>
          <t>調1</t>
        </is>
      </c>
      <c r="M20" s="317" t="inlineStr">
        <is>
          <t>調1</t>
        </is>
      </c>
      <c r="N20" s="317" t="inlineStr">
        <is>
          <t>休</t>
        </is>
      </c>
      <c r="O20" s="317" t="inlineStr">
        <is>
          <t>調1</t>
        </is>
      </c>
      <c r="P20" s="317" t="inlineStr">
        <is>
          <t>調1</t>
        </is>
      </c>
      <c r="Q20" s="317" t="inlineStr">
        <is>
          <t>調1</t>
        </is>
      </c>
      <c r="R20" s="317" t="inlineStr">
        <is>
          <t>調1</t>
        </is>
      </c>
      <c r="S20" s="317" t="inlineStr">
        <is>
          <t>調1</t>
        </is>
      </c>
      <c r="T20" s="317" t="inlineStr">
        <is>
          <t>調1</t>
        </is>
      </c>
      <c r="U20" s="317" t="inlineStr">
        <is>
          <t>休</t>
        </is>
      </c>
      <c r="V20" s="317" t="inlineStr">
        <is>
          <t>調1</t>
        </is>
      </c>
      <c r="W20" s="317" t="inlineStr">
        <is>
          <t>調1</t>
        </is>
      </c>
      <c r="X20" s="317" t="inlineStr">
        <is>
          <t>調1</t>
        </is>
      </c>
      <c r="Y20" s="317" t="inlineStr">
        <is>
          <t>調1</t>
        </is>
      </c>
      <c r="Z20" s="317" t="inlineStr">
        <is>
          <t>調1</t>
        </is>
      </c>
      <c r="AA20" s="317" t="inlineStr">
        <is>
          <t>調1</t>
        </is>
      </c>
      <c r="AB20" s="317" t="inlineStr">
        <is>
          <t>休</t>
        </is>
      </c>
      <c r="AC20" s="317" t="inlineStr">
        <is>
          <t>調1</t>
        </is>
      </c>
      <c r="AD20" s="317" t="inlineStr">
        <is>
          <t>調1</t>
        </is>
      </c>
      <c r="AE20" s="317" t="inlineStr">
        <is>
          <t>調1</t>
        </is>
      </c>
      <c r="AF20" s="317" t="inlineStr">
        <is>
          <t>調1</t>
        </is>
      </c>
      <c r="AG20" s="317" t="inlineStr">
        <is>
          <t>調1</t>
        </is>
      </c>
      <c r="AH20" s="317" t="inlineStr">
        <is>
          <t>調1</t>
        </is>
      </c>
      <c r="AI20" s="317" t="inlineStr">
        <is>
          <t>休</t>
        </is>
      </c>
      <c r="AJ20" s="317" t="inlineStr">
        <is>
          <t>調1</t>
        </is>
      </c>
      <c r="AK20" s="314" t="inlineStr">
        <is>
          <t>調1</t>
        </is>
      </c>
      <c r="AL20" s="226" t="n"/>
      <c r="AM20" s="206">
        <f>COUNTIF($G20:$AK20,"Ａ")</f>
        <v/>
      </c>
      <c r="AN20" s="206">
        <f>COUNTIF($G20:$AK20,"Ｂ")</f>
        <v/>
      </c>
      <c r="AO20" s="206">
        <f>COUNTIF($G20:$AK20,"Ｄ")</f>
        <v/>
      </c>
      <c r="AP20" s="206">
        <f>COUNTIF($G20:$AK20,"Ｃ")</f>
        <v/>
      </c>
      <c r="AQ20" s="206">
        <f>COUNTIF($G20:$AK20,"夜")</f>
        <v/>
      </c>
      <c r="AR20" s="206">
        <f>COUNTIF($G20:$AK20,"明")</f>
        <v/>
      </c>
      <c r="AS20" s="206">
        <f>+COUNTIF($G20:$AK20,"Ｅ")</f>
        <v/>
      </c>
      <c r="AT20" s="206">
        <f>COUNTIF($G20:$AK20,"研")+COUNTIF($G20:$AK20,"健")</f>
        <v/>
      </c>
      <c r="AU20" s="206">
        <f>COUNTIF($G20:$AK20,"調1")</f>
        <v/>
      </c>
      <c r="AV20" s="206">
        <f>COUNTIF($G20:$AK20,"調2")</f>
        <v/>
      </c>
      <c r="AW20" s="206">
        <f>COUNTIF($G20:$AK20,"有")</f>
        <v/>
      </c>
      <c r="AX20" s="206">
        <f>COUNTIF($G20:$AK20,"休")+COUNTIF($G20:$AK20,"希")</f>
        <v/>
      </c>
      <c r="AY20" s="206">
        <f>SUM(AM20:AW20)</f>
        <v/>
      </c>
      <c r="AZ20" s="206" t="n">
        <v>27</v>
      </c>
      <c r="BA20" s="134">
        <f>IF(AY20&lt;=AZ20,"OK","NG")</f>
        <v/>
      </c>
      <c r="BC20" s="282" t="inlineStr">
        <is>
          <t>B</t>
        </is>
      </c>
      <c r="BD20" s="280" t="n">
        <v>30</v>
      </c>
      <c r="BE20" s="280" t="n"/>
    </row>
    <row r="21" ht="35.25" customHeight="1" s="447">
      <c r="B21" s="155" t="inlineStr">
        <is>
          <t>調理職員</t>
        </is>
      </c>
      <c r="C21" s="156" t="inlineStr">
        <is>
          <t>町　　倫子</t>
        </is>
      </c>
      <c r="D21" s="337" t="n"/>
      <c r="E21" s="305" t="n"/>
      <c r="F21" s="311" t="n"/>
      <c r="G21" s="331" t="inlineStr">
        <is>
          <t>調1</t>
        </is>
      </c>
      <c r="H21" s="332" t="inlineStr">
        <is>
          <t>休</t>
        </is>
      </c>
      <c r="I21" s="332" t="inlineStr">
        <is>
          <t>休</t>
        </is>
      </c>
      <c r="J21" s="332" t="inlineStr">
        <is>
          <t>休</t>
        </is>
      </c>
      <c r="K21" s="332" t="inlineStr">
        <is>
          <t>休</t>
        </is>
      </c>
      <c r="L21" s="333" t="inlineStr">
        <is>
          <t>調2</t>
        </is>
      </c>
      <c r="M21" s="332" t="inlineStr">
        <is>
          <t>調2</t>
        </is>
      </c>
      <c r="N21" s="332" t="inlineStr">
        <is>
          <t>調1</t>
        </is>
      </c>
      <c r="O21" s="332" t="inlineStr">
        <is>
          <t>休</t>
        </is>
      </c>
      <c r="P21" s="332" t="inlineStr">
        <is>
          <t>休</t>
        </is>
      </c>
      <c r="Q21" s="332" t="inlineStr">
        <is>
          <t>休</t>
        </is>
      </c>
      <c r="R21" s="332" t="inlineStr">
        <is>
          <t>休</t>
        </is>
      </c>
      <c r="S21" s="332" t="inlineStr">
        <is>
          <t>調2</t>
        </is>
      </c>
      <c r="T21" s="332" t="inlineStr">
        <is>
          <t>調2</t>
        </is>
      </c>
      <c r="U21" s="332" t="inlineStr">
        <is>
          <t>調1</t>
        </is>
      </c>
      <c r="V21" s="332" t="inlineStr">
        <is>
          <t>休</t>
        </is>
      </c>
      <c r="W21" s="332" t="inlineStr">
        <is>
          <t>休</t>
        </is>
      </c>
      <c r="X21" s="332" t="inlineStr">
        <is>
          <t>休</t>
        </is>
      </c>
      <c r="Y21" s="332" t="inlineStr">
        <is>
          <t>休</t>
        </is>
      </c>
      <c r="Z21" s="333" t="inlineStr">
        <is>
          <t>調2</t>
        </is>
      </c>
      <c r="AA21" s="332" t="inlineStr">
        <is>
          <t>調2</t>
        </is>
      </c>
      <c r="AB21" s="332" t="inlineStr">
        <is>
          <t>調1</t>
        </is>
      </c>
      <c r="AC21" s="332" t="inlineStr">
        <is>
          <t>休</t>
        </is>
      </c>
      <c r="AD21" s="332" t="inlineStr">
        <is>
          <t>休</t>
        </is>
      </c>
      <c r="AE21" s="332" t="inlineStr">
        <is>
          <t>休</t>
        </is>
      </c>
      <c r="AF21" s="332" t="inlineStr">
        <is>
          <t>休</t>
        </is>
      </c>
      <c r="AG21" s="333" t="inlineStr">
        <is>
          <t>調2</t>
        </is>
      </c>
      <c r="AH21" s="332" t="inlineStr">
        <is>
          <t>調2</t>
        </is>
      </c>
      <c r="AI21" s="331" t="inlineStr">
        <is>
          <t>調1</t>
        </is>
      </c>
      <c r="AJ21" s="332" t="inlineStr">
        <is>
          <t>休</t>
        </is>
      </c>
      <c r="AK21" s="311" t="inlineStr">
        <is>
          <t>休</t>
        </is>
      </c>
      <c r="AL21" s="226" t="n"/>
      <c r="AM21" s="206">
        <f>COUNTIF($G21:$AK21,"Ａ")</f>
        <v/>
      </c>
      <c r="AN21" s="206">
        <f>COUNTIF($G21:$AK21,"Ｂ")</f>
        <v/>
      </c>
      <c r="AO21" s="206">
        <f>COUNTIF($G21:$AK21,"Ｄ")</f>
        <v/>
      </c>
      <c r="AP21" s="206">
        <f>COUNTIF($G21:$AK21,"Ｃ")</f>
        <v/>
      </c>
      <c r="AQ21" s="206">
        <f>COUNTIF($G21:$AK21,"夜")</f>
        <v/>
      </c>
      <c r="AR21" s="206">
        <f>COUNTIF($G21:$AK21,"明")</f>
        <v/>
      </c>
      <c r="AS21" s="206">
        <f>+COUNTIF($G21:$AK21,"Ｅ")</f>
        <v/>
      </c>
      <c r="AT21" s="206">
        <f>COUNTIF($G21:$AK21,"研")+COUNTIF($G21:$AK21,"健")</f>
        <v/>
      </c>
      <c r="AU21" s="206">
        <f>COUNTIF($G21:$AK21,"調1")</f>
        <v/>
      </c>
      <c r="AV21" s="206">
        <f>COUNTIF($G21:$AK21,"調2")</f>
        <v/>
      </c>
      <c r="AW21" s="206">
        <f>COUNTIF($G21:$AK21,"有")</f>
        <v/>
      </c>
      <c r="AX21" s="206">
        <f>COUNTIF($G21:$AK21,"休")+COUNTIF($G21:$AK21,"希")</f>
        <v/>
      </c>
      <c r="AY21" s="206">
        <f>SUM(AM21:AW21)</f>
        <v/>
      </c>
      <c r="AZ21" s="206" t="n">
        <v>15</v>
      </c>
      <c r="BA21" s="134">
        <f>IF(AY21&lt;=AZ21,"OK","NG")</f>
        <v/>
      </c>
      <c r="BC21" s="282" t="inlineStr">
        <is>
          <t>C</t>
        </is>
      </c>
      <c r="BD21" s="280" t="n">
        <v>30</v>
      </c>
      <c r="BE21" s="280" t="n"/>
    </row>
    <row r="22" ht="35.25" customFormat="1" customHeight="1" s="177">
      <c r="A22" s="132" t="n"/>
      <c r="B22" s="155" t="inlineStr">
        <is>
          <t>調理職員</t>
        </is>
      </c>
      <c r="C22" s="167" t="inlineStr">
        <is>
          <t>甲斐　幸子</t>
        </is>
      </c>
      <c r="D22" s="337" t="n"/>
      <c r="E22" s="305" t="n"/>
      <c r="F22" s="311" t="n"/>
      <c r="G22" s="331" t="inlineStr">
        <is>
          <t>調2</t>
        </is>
      </c>
      <c r="H22" s="319" t="inlineStr">
        <is>
          <t>休</t>
        </is>
      </c>
      <c r="I22" s="319" t="inlineStr">
        <is>
          <t>休</t>
        </is>
      </c>
      <c r="J22" s="319" t="inlineStr">
        <is>
          <t>調2</t>
        </is>
      </c>
      <c r="K22" s="319" t="inlineStr">
        <is>
          <t>調2</t>
        </is>
      </c>
      <c r="L22" s="319" t="inlineStr">
        <is>
          <t>休</t>
        </is>
      </c>
      <c r="M22" s="319" t="inlineStr">
        <is>
          <t>休</t>
        </is>
      </c>
      <c r="N22" s="319" t="inlineStr">
        <is>
          <t>調2</t>
        </is>
      </c>
      <c r="O22" s="319" t="inlineStr">
        <is>
          <t>休</t>
        </is>
      </c>
      <c r="P22" s="319" t="inlineStr">
        <is>
          <t>休</t>
        </is>
      </c>
      <c r="Q22" s="319" t="inlineStr">
        <is>
          <t>休</t>
        </is>
      </c>
      <c r="R22" s="319" t="inlineStr">
        <is>
          <t>調2</t>
        </is>
      </c>
      <c r="S22" s="319" t="inlineStr">
        <is>
          <t>休</t>
        </is>
      </c>
      <c r="T22" s="319" t="inlineStr">
        <is>
          <t>休</t>
        </is>
      </c>
      <c r="U22" s="319" t="inlineStr">
        <is>
          <t>調2</t>
        </is>
      </c>
      <c r="V22" s="319" t="inlineStr">
        <is>
          <t>休</t>
        </is>
      </c>
      <c r="W22" s="319" t="inlineStr">
        <is>
          <t>休</t>
        </is>
      </c>
      <c r="X22" s="319" t="inlineStr">
        <is>
          <t>調2</t>
        </is>
      </c>
      <c r="Y22" s="319" t="inlineStr">
        <is>
          <t>調2</t>
        </is>
      </c>
      <c r="Z22" s="319" t="inlineStr">
        <is>
          <t>休</t>
        </is>
      </c>
      <c r="AA22" s="319" t="inlineStr">
        <is>
          <t>休</t>
        </is>
      </c>
      <c r="AB22" s="319" t="inlineStr">
        <is>
          <t>調2</t>
        </is>
      </c>
      <c r="AC22" s="319" t="inlineStr">
        <is>
          <t>休</t>
        </is>
      </c>
      <c r="AD22" s="319" t="inlineStr">
        <is>
          <t>休</t>
        </is>
      </c>
      <c r="AE22" s="319" t="inlineStr">
        <is>
          <t>調2</t>
        </is>
      </c>
      <c r="AF22" s="319" t="inlineStr">
        <is>
          <t>調2</t>
        </is>
      </c>
      <c r="AG22" s="319" t="inlineStr">
        <is>
          <t>休</t>
        </is>
      </c>
      <c r="AH22" s="319" t="inlineStr">
        <is>
          <t>休</t>
        </is>
      </c>
      <c r="AI22" s="318" t="inlineStr">
        <is>
          <t>調2</t>
        </is>
      </c>
      <c r="AJ22" s="319" t="inlineStr">
        <is>
          <t>休</t>
        </is>
      </c>
      <c r="AK22" s="311" t="inlineStr">
        <is>
          <t>休</t>
        </is>
      </c>
      <c r="AL22" s="231" t="n"/>
      <c r="AM22" s="206">
        <f>COUNTIF($G22:$AK22,"Ａ")</f>
        <v/>
      </c>
      <c r="AN22" s="206">
        <f>COUNTIF($G22:$AK22,"Ｂ")</f>
        <v/>
      </c>
      <c r="AO22" s="206">
        <f>COUNTIF($G22:$AK22,"Ｄ")</f>
        <v/>
      </c>
      <c r="AP22" s="206">
        <f>COUNTIF($G22:$AK22,"Ｃ")</f>
        <v/>
      </c>
      <c r="AQ22" s="206">
        <f>COUNTIF($G22:$AK22,"夜")</f>
        <v/>
      </c>
      <c r="AR22" s="206">
        <f>COUNTIF($G22:$AK22,"明")</f>
        <v/>
      </c>
      <c r="AS22" s="206">
        <f>+COUNTIF($G22:$AK22,"Ｅ")</f>
        <v/>
      </c>
      <c r="AT22" s="206">
        <f>COUNTIF($G22:$AK22,"研")+COUNTIF($G22:$AK22,"健")</f>
        <v/>
      </c>
      <c r="AU22" s="206">
        <f>COUNTIF($G22:$AK22,"調1")</f>
        <v/>
      </c>
      <c r="AV22" s="206">
        <f>COUNTIF($G22:$AK22,"調2")</f>
        <v/>
      </c>
      <c r="AW22" s="206">
        <f>COUNTIF($G22:$AK22,"有")</f>
        <v/>
      </c>
      <c r="AX22" s="206">
        <f>COUNTIF($G22:$AK22,"休")+COUNTIF($G22:$AK22,"希")</f>
        <v/>
      </c>
      <c r="AY22" s="206">
        <f>SUM(AM22:AW22)</f>
        <v/>
      </c>
      <c r="AZ22" s="206" t="n">
        <v>15</v>
      </c>
      <c r="BA22" s="134">
        <f>IF(AY22&lt;=AZ22,"OK","NG")</f>
        <v/>
      </c>
      <c r="BB22" s="132" t="n"/>
      <c r="BC22" s="282" t="inlineStr">
        <is>
          <t>D</t>
        </is>
      </c>
      <c r="BD22" s="280" t="n">
        <v>30</v>
      </c>
      <c r="BE22" s="280">
        <f>SUM(BD19:BD22)</f>
        <v/>
      </c>
      <c r="BF22" s="132" t="n"/>
      <c r="BG22" s="132" t="n"/>
      <c r="BH22" s="132" t="n"/>
      <c r="BI22" s="132" t="n"/>
    </row>
    <row r="23" ht="35" customFormat="1" customHeight="1" s="177">
      <c r="A23" s="132" t="n"/>
      <c r="B23" s="155" t="inlineStr">
        <is>
          <t>調理職員</t>
        </is>
      </c>
      <c r="C23" s="167" t="inlineStr">
        <is>
          <t>甲斐　美菜子</t>
        </is>
      </c>
      <c r="D23" s="305" t="n"/>
      <c r="E23" s="305" t="n"/>
      <c r="F23" s="311" t="n"/>
      <c r="G23" s="331" t="inlineStr">
        <is>
          <t>休</t>
        </is>
      </c>
      <c r="H23" s="319" t="inlineStr">
        <is>
          <t>休</t>
        </is>
      </c>
      <c r="I23" s="319" t="inlineStr">
        <is>
          <t>調2</t>
        </is>
      </c>
      <c r="J23" s="319" t="inlineStr">
        <is>
          <t>休</t>
        </is>
      </c>
      <c r="K23" s="319" t="inlineStr">
        <is>
          <t>休</t>
        </is>
      </c>
      <c r="L23" s="319" t="inlineStr">
        <is>
          <t>休</t>
        </is>
      </c>
      <c r="M23" s="319" t="inlineStr">
        <is>
          <t>休</t>
        </is>
      </c>
      <c r="N23" s="319" t="inlineStr">
        <is>
          <t>休</t>
        </is>
      </c>
      <c r="O23" s="319" t="inlineStr">
        <is>
          <t>休</t>
        </is>
      </c>
      <c r="P23" s="319" t="inlineStr">
        <is>
          <t>調2</t>
        </is>
      </c>
      <c r="Q23" s="319" t="inlineStr">
        <is>
          <t>休</t>
        </is>
      </c>
      <c r="R23" s="319" t="inlineStr">
        <is>
          <t>休</t>
        </is>
      </c>
      <c r="S23" s="319" t="inlineStr">
        <is>
          <t>休</t>
        </is>
      </c>
      <c r="T23" s="319" t="inlineStr">
        <is>
          <t>休</t>
        </is>
      </c>
      <c r="U23" s="319" t="inlineStr">
        <is>
          <t>休</t>
        </is>
      </c>
      <c r="V23" s="319" t="inlineStr">
        <is>
          <t>休</t>
        </is>
      </c>
      <c r="W23" s="319" t="inlineStr">
        <is>
          <t>休</t>
        </is>
      </c>
      <c r="X23" s="319" t="inlineStr">
        <is>
          <t>休</t>
        </is>
      </c>
      <c r="Y23" s="319" t="inlineStr">
        <is>
          <t>休</t>
        </is>
      </c>
      <c r="Z23" s="319" t="inlineStr">
        <is>
          <t>休</t>
        </is>
      </c>
      <c r="AA23" s="319" t="inlineStr">
        <is>
          <t>休</t>
        </is>
      </c>
      <c r="AB23" s="319" t="inlineStr">
        <is>
          <t>休</t>
        </is>
      </c>
      <c r="AC23" s="319" t="inlineStr">
        <is>
          <t>休</t>
        </is>
      </c>
      <c r="AD23" s="319" t="inlineStr">
        <is>
          <t>調2</t>
        </is>
      </c>
      <c r="AE23" s="319" t="inlineStr">
        <is>
          <t>休</t>
        </is>
      </c>
      <c r="AF23" s="319" t="inlineStr">
        <is>
          <t>休</t>
        </is>
      </c>
      <c r="AG23" s="319" t="inlineStr">
        <is>
          <t>休</t>
        </is>
      </c>
      <c r="AH23" s="319" t="inlineStr">
        <is>
          <t>休</t>
        </is>
      </c>
      <c r="AI23" s="319" t="inlineStr">
        <is>
          <t>休</t>
        </is>
      </c>
      <c r="AJ23" s="319" t="inlineStr">
        <is>
          <t>休</t>
        </is>
      </c>
      <c r="AK23" s="157" t="inlineStr">
        <is>
          <t>調2</t>
        </is>
      </c>
      <c r="AL23" s="231" t="n"/>
      <c r="AM23" s="206">
        <f>COUNTIF($G23:$AK23,"Ａ")</f>
        <v/>
      </c>
      <c r="AN23" s="206">
        <f>COUNTIF($G23:$AK23,"Ｂ")</f>
        <v/>
      </c>
      <c r="AO23" s="206">
        <f>COUNTIF($G23:$AK23,"Ｄ")</f>
        <v/>
      </c>
      <c r="AP23" s="206">
        <f>COUNTIF($G23:$AK23,"Ｃ")</f>
        <v/>
      </c>
      <c r="AQ23" s="206">
        <f>COUNTIF($G23:$AK23,"夜")</f>
        <v/>
      </c>
      <c r="AR23" s="206">
        <f>COUNTIF($G23:$AK23,"明")</f>
        <v/>
      </c>
      <c r="AS23" s="206">
        <f>+COUNTIF($G23:$AK23,"Ｅ")</f>
        <v/>
      </c>
      <c r="AT23" s="206">
        <f>COUNTIF($G23:$AK23,"研")+COUNTIF($G23:$AK23,"健")</f>
        <v/>
      </c>
      <c r="AU23" s="206">
        <f>COUNTIF($G23:$AK23,"調1")</f>
        <v/>
      </c>
      <c r="AV23" s="206">
        <f>COUNTIF($G23:$AK23,"調2")</f>
        <v/>
      </c>
      <c r="AW23" s="206">
        <f>COUNTIF($G23:$AK23,"有")</f>
        <v/>
      </c>
      <c r="AX23" s="206">
        <f>COUNTIF($G23:$AK23,"休")+COUNTIF($G23:$AK23,"希")</f>
        <v/>
      </c>
      <c r="AY23" s="206">
        <f>SUM(AM23:AW23)</f>
        <v/>
      </c>
      <c r="AZ23" s="206" t="n">
        <v>15</v>
      </c>
      <c r="BA23" s="134">
        <f>IF(AY23&lt;=AZ23,"OK","NG")</f>
        <v/>
      </c>
      <c r="BB23" s="132" t="n"/>
      <c r="BC23" s="282" t="inlineStr">
        <is>
          <t>夜</t>
        </is>
      </c>
      <c r="BD23" s="280" t="n">
        <v>30</v>
      </c>
      <c r="BE23" s="280" t="n"/>
      <c r="BF23" s="132" t="n"/>
      <c r="BG23" s="132" t="n"/>
      <c r="BH23" s="132" t="n"/>
      <c r="BI23" s="132" t="n"/>
    </row>
    <row r="24" ht="35" customFormat="1" customHeight="1" s="177">
      <c r="A24" s="132" t="n"/>
      <c r="B24" s="155" t="inlineStr">
        <is>
          <t>調理職員</t>
        </is>
      </c>
      <c r="C24" s="167" t="inlineStr">
        <is>
          <t>高本　みち子</t>
        </is>
      </c>
      <c r="D24" s="337" t="n"/>
      <c r="E24" s="305" t="n"/>
      <c r="F24" s="311" t="n"/>
      <c r="G24" s="331" t="inlineStr">
        <is>
          <t>休</t>
        </is>
      </c>
      <c r="H24" s="319" t="inlineStr">
        <is>
          <t>調2</t>
        </is>
      </c>
      <c r="I24" s="319" t="inlineStr">
        <is>
          <t>休</t>
        </is>
      </c>
      <c r="J24" s="319" t="inlineStr">
        <is>
          <t>休</t>
        </is>
      </c>
      <c r="K24" s="319" t="inlineStr">
        <is>
          <t>休</t>
        </is>
      </c>
      <c r="L24" s="319" t="inlineStr">
        <is>
          <t>休</t>
        </is>
      </c>
      <c r="M24" s="319" t="inlineStr">
        <is>
          <t>休</t>
        </is>
      </c>
      <c r="N24" s="319" t="inlineStr">
        <is>
          <t>休</t>
        </is>
      </c>
      <c r="O24" s="319" t="inlineStr">
        <is>
          <t>調2</t>
        </is>
      </c>
      <c r="P24" s="319" t="inlineStr">
        <is>
          <t>休</t>
        </is>
      </c>
      <c r="Q24" s="319" t="inlineStr">
        <is>
          <t>休</t>
        </is>
      </c>
      <c r="R24" s="319" t="inlineStr">
        <is>
          <t>休</t>
        </is>
      </c>
      <c r="S24" s="319" t="inlineStr">
        <is>
          <t>休</t>
        </is>
      </c>
      <c r="T24" s="319" t="inlineStr">
        <is>
          <t>休</t>
        </is>
      </c>
      <c r="U24" s="319" t="inlineStr">
        <is>
          <t>休</t>
        </is>
      </c>
      <c r="V24" s="319" t="inlineStr">
        <is>
          <t>休</t>
        </is>
      </c>
      <c r="W24" s="319" t="inlineStr">
        <is>
          <t>休</t>
        </is>
      </c>
      <c r="X24" s="319" t="inlineStr">
        <is>
          <t>休</t>
        </is>
      </c>
      <c r="Y24" s="319" t="inlineStr">
        <is>
          <t>休</t>
        </is>
      </c>
      <c r="Z24" s="319" t="inlineStr">
        <is>
          <t>休</t>
        </is>
      </c>
      <c r="AA24" s="319" t="inlineStr">
        <is>
          <t>休</t>
        </is>
      </c>
      <c r="AB24" s="319" t="inlineStr">
        <is>
          <t>休</t>
        </is>
      </c>
      <c r="AC24" s="319" t="inlineStr">
        <is>
          <t>調2</t>
        </is>
      </c>
      <c r="AD24" s="319" t="inlineStr">
        <is>
          <t>休</t>
        </is>
      </c>
      <c r="AE24" s="319" t="inlineStr">
        <is>
          <t>休</t>
        </is>
      </c>
      <c r="AF24" s="319" t="inlineStr">
        <is>
          <t>休</t>
        </is>
      </c>
      <c r="AG24" s="319" t="inlineStr">
        <is>
          <t>休</t>
        </is>
      </c>
      <c r="AH24" s="319" t="inlineStr">
        <is>
          <t>休</t>
        </is>
      </c>
      <c r="AI24" s="318" t="inlineStr">
        <is>
          <t>休</t>
        </is>
      </c>
      <c r="AJ24" s="319" t="inlineStr">
        <is>
          <t>調2</t>
        </is>
      </c>
      <c r="AK24" s="157" t="inlineStr">
        <is>
          <t>休</t>
        </is>
      </c>
      <c r="AL24" s="231" t="n"/>
      <c r="AM24" s="206">
        <f>COUNTIF($G24:$AK24,"Ａ")</f>
        <v/>
      </c>
      <c r="AN24" s="206">
        <f>COUNTIF($G24:$AK24,"Ｂ")</f>
        <v/>
      </c>
      <c r="AO24" s="206">
        <f>COUNTIF($G24:$AK24,"Ｄ")</f>
        <v/>
      </c>
      <c r="AP24" s="206">
        <f>COUNTIF($G24:$AK24,"Ｃ")</f>
        <v/>
      </c>
      <c r="AQ24" s="206">
        <f>COUNTIF($G24:$AK24,"夜")</f>
        <v/>
      </c>
      <c r="AR24" s="206">
        <f>COUNTIF($G24:$AK24,"明")</f>
        <v/>
      </c>
      <c r="AS24" s="206">
        <f>+COUNTIF($G24:$AK24,"Ｅ")</f>
        <v/>
      </c>
      <c r="AT24" s="206">
        <f>COUNTIF($G24:$AK24,"研")+COUNTIF($G24:$AK24,"健")</f>
        <v/>
      </c>
      <c r="AU24" s="206">
        <f>COUNTIF($G24:$AK24,"調1")</f>
        <v/>
      </c>
      <c r="AV24" s="206">
        <f>COUNTIF($G24:$AK24,"調2")</f>
        <v/>
      </c>
      <c r="AW24" s="206">
        <f>COUNTIF($G24:$AK24,"有")</f>
        <v/>
      </c>
      <c r="AX24" s="206">
        <f>COUNTIF($G24:$AK24,"休")+COUNTIF($G24:$AK24,"希")</f>
        <v/>
      </c>
      <c r="AY24" s="206">
        <f>SUM(AM24:AW24)</f>
        <v/>
      </c>
      <c r="AZ24" s="206" t="n"/>
      <c r="BA24" s="134" t="n"/>
      <c r="BB24" s="132" t="n"/>
      <c r="BC24" s="282" t="inlineStr">
        <is>
          <t>明</t>
        </is>
      </c>
      <c r="BD24" s="280" t="n">
        <v>30</v>
      </c>
      <c r="BE24" s="280" t="n"/>
      <c r="BF24" s="132" t="n"/>
      <c r="BG24" s="132" t="n"/>
      <c r="BH24" s="132" t="n"/>
      <c r="BI24" s="132" t="n"/>
    </row>
    <row r="25" ht="35" customHeight="1" s="447" thickBot="1">
      <c r="B25" s="168" t="inlineStr">
        <is>
          <t>調理職員</t>
        </is>
      </c>
      <c r="C25" s="169" t="inlineStr">
        <is>
          <t>花田　美幸</t>
        </is>
      </c>
      <c r="D25" s="301" t="n"/>
      <c r="E25" s="300" t="n"/>
      <c r="F25" s="315" t="n"/>
      <c r="G25" s="334" t="inlineStr">
        <is>
          <t>休</t>
        </is>
      </c>
      <c r="H25" s="335" t="inlineStr">
        <is>
          <t>休</t>
        </is>
      </c>
      <c r="I25" s="335" t="inlineStr">
        <is>
          <t>休</t>
        </is>
      </c>
      <c r="J25" s="335" t="inlineStr">
        <is>
          <t>休</t>
        </is>
      </c>
      <c r="K25" s="335" t="inlineStr">
        <is>
          <t>休</t>
        </is>
      </c>
      <c r="L25" s="335" t="inlineStr">
        <is>
          <t>休</t>
        </is>
      </c>
      <c r="M25" s="335" t="inlineStr">
        <is>
          <t>休</t>
        </is>
      </c>
      <c r="N25" s="335" t="inlineStr">
        <is>
          <t>休</t>
        </is>
      </c>
      <c r="O25" s="335" t="inlineStr">
        <is>
          <t>休</t>
        </is>
      </c>
      <c r="P25" s="335" t="inlineStr">
        <is>
          <t>休</t>
        </is>
      </c>
      <c r="Q25" s="335" t="inlineStr">
        <is>
          <t>休</t>
        </is>
      </c>
      <c r="R25" s="335" t="inlineStr">
        <is>
          <t>休</t>
        </is>
      </c>
      <c r="S25" s="335" t="inlineStr">
        <is>
          <t>休</t>
        </is>
      </c>
      <c r="T25" s="335" t="inlineStr">
        <is>
          <t>休</t>
        </is>
      </c>
      <c r="U25" s="335" t="inlineStr">
        <is>
          <t>休</t>
        </is>
      </c>
      <c r="V25" s="335" t="inlineStr">
        <is>
          <t>休</t>
        </is>
      </c>
      <c r="W25" s="335" t="inlineStr">
        <is>
          <t>休</t>
        </is>
      </c>
      <c r="X25" s="335" t="inlineStr">
        <is>
          <t>休</t>
        </is>
      </c>
      <c r="Y25" s="335" t="inlineStr">
        <is>
          <t>休</t>
        </is>
      </c>
      <c r="Z25" s="335" t="inlineStr">
        <is>
          <t>休</t>
        </is>
      </c>
      <c r="AA25" s="335" t="inlineStr">
        <is>
          <t>休</t>
        </is>
      </c>
      <c r="AB25" s="335" t="inlineStr">
        <is>
          <t>休</t>
        </is>
      </c>
      <c r="AC25" s="335" t="inlineStr">
        <is>
          <t>休</t>
        </is>
      </c>
      <c r="AD25" s="335" t="inlineStr">
        <is>
          <t>休</t>
        </is>
      </c>
      <c r="AE25" s="335" t="inlineStr">
        <is>
          <t>休</t>
        </is>
      </c>
      <c r="AF25" s="335" t="inlineStr">
        <is>
          <t>休</t>
        </is>
      </c>
      <c r="AG25" s="335" t="inlineStr">
        <is>
          <t>休</t>
        </is>
      </c>
      <c r="AH25" s="335" t="inlineStr">
        <is>
          <t>休</t>
        </is>
      </c>
      <c r="AI25" s="336" t="inlineStr">
        <is>
          <t>休</t>
        </is>
      </c>
      <c r="AJ25" s="335" t="inlineStr">
        <is>
          <t>休</t>
        </is>
      </c>
      <c r="AK25" s="170" t="inlineStr">
        <is>
          <t>休</t>
        </is>
      </c>
      <c r="AL25" s="188" t="n"/>
      <c r="AM25" s="206">
        <f>COUNTIF($G25:$AK25,"Ａ")</f>
        <v/>
      </c>
      <c r="AN25" s="206">
        <f>COUNTIF($G25:$AK25,"Ｂ")</f>
        <v/>
      </c>
      <c r="AO25" s="206">
        <f>COUNTIF($G25:$AK25,"Ｄ")</f>
        <v/>
      </c>
      <c r="AP25" s="206">
        <f>COUNTIF($G25:$AK25,"Ｃ")</f>
        <v/>
      </c>
      <c r="AQ25" s="206">
        <f>COUNTIF($G25:$AK25,"夜")</f>
        <v/>
      </c>
      <c r="AR25" s="206">
        <f>COUNTIF($G25:$AK25,"明")</f>
        <v/>
      </c>
      <c r="AS25" s="206">
        <f>+COUNTIF($G25:$AK25,"Ｅ")</f>
        <v/>
      </c>
      <c r="AT25" s="206">
        <f>COUNTIF($G25:$AK25,"研")+COUNTIF($G25:$AK25,"健")</f>
        <v/>
      </c>
      <c r="AU25" s="206">
        <f>COUNTIF($G25:$AK25,"調1")</f>
        <v/>
      </c>
      <c r="AV25" s="206">
        <f>COUNTIF($G25:$AK25,"調2")</f>
        <v/>
      </c>
      <c r="AW25" s="206">
        <f>COUNTIF($G25:$AK25,"有")</f>
        <v/>
      </c>
      <c r="AX25" s="206">
        <f>COUNTIF($G25:$AK25,"休")+COUNTIF($G25:$AK25,"希")</f>
        <v/>
      </c>
      <c r="AY25" s="206">
        <f>SUM(AM25:AW25)</f>
        <v/>
      </c>
      <c r="AZ25" s="206" t="n"/>
      <c r="BA25" s="134" t="n"/>
      <c r="BC25" s="282" t="inlineStr">
        <is>
          <t>合計</t>
        </is>
      </c>
      <c r="BD25" s="280">
        <f>SUM(BD19:BD24)</f>
        <v/>
      </c>
      <c r="BE25" s="280" t="n"/>
    </row>
    <row r="26" ht="34.5" customHeight="1" s="447" thickBot="1">
      <c r="B26" s="177" t="n"/>
      <c r="C26" s="241" t="n"/>
      <c r="D26" s="241" t="n"/>
      <c r="E26" s="241" t="n"/>
      <c r="F26" s="241" t="n"/>
      <c r="G26" s="242" t="n"/>
      <c r="H26" s="243" t="n"/>
      <c r="I26" s="243" t="n"/>
      <c r="J26" s="244" t="n"/>
      <c r="K26" s="243" t="n"/>
      <c r="L26" s="244" t="n"/>
      <c r="M26" s="241" t="n"/>
      <c r="N26" s="241" t="n"/>
      <c r="O26" s="242" t="n"/>
      <c r="P26" s="243" t="n"/>
      <c r="Q26" s="243" t="n"/>
      <c r="R26" s="243" t="n"/>
      <c r="S26" s="243" t="n"/>
      <c r="T26" s="244" t="n"/>
      <c r="U26" s="241" t="n"/>
      <c r="V26" s="242" t="n"/>
      <c r="W26" s="241" t="n"/>
      <c r="X26" s="241" t="n"/>
      <c r="Y26" s="241" t="n"/>
      <c r="Z26" s="241" t="n"/>
      <c r="AA26" s="243" t="n"/>
      <c r="AB26" s="243" t="n"/>
      <c r="AC26" s="243" t="n"/>
      <c r="AD26" s="243" t="n"/>
      <c r="AE26" s="242" t="n"/>
      <c r="AF26" s="243" t="n"/>
      <c r="AG26" s="243" t="n"/>
      <c r="AH26" s="243" t="n"/>
      <c r="AI26" s="243" t="n"/>
      <c r="AJ26" s="177" t="n"/>
      <c r="AK26" s="177" t="n"/>
      <c r="AM26" s="206">
        <f>SUM(AM6:AM25)</f>
        <v/>
      </c>
      <c r="AN26" s="206">
        <f>SUM(AN6:AN25)</f>
        <v/>
      </c>
      <c r="AO26" s="206">
        <f>SUM(AO6:AO25)</f>
        <v/>
      </c>
      <c r="AP26" s="206">
        <f>SUM(AP6:AP25)</f>
        <v/>
      </c>
      <c r="AQ26" s="206">
        <f>SUM(AQ6:AQ25)</f>
        <v/>
      </c>
      <c r="AR26" s="206">
        <f>SUM(AR6:AR25)</f>
        <v/>
      </c>
      <c r="AS26" s="206">
        <f>SUM(AS6:AS25)</f>
        <v/>
      </c>
      <c r="AT26" s="206">
        <f>COUNTIF($G26:$AK26,"研")+COUNTIF($G26:$AK26,"健")</f>
        <v/>
      </c>
      <c r="AU26" s="206">
        <f>SUM(AU6:AU25)</f>
        <v/>
      </c>
      <c r="AV26" s="206">
        <f>SUM(AV6:AV25)</f>
        <v/>
      </c>
      <c r="AW26" s="206">
        <f>SUM(AW6:AW25)</f>
        <v/>
      </c>
      <c r="AX26" s="206">
        <f>SUM(AX6:AX25)</f>
        <v/>
      </c>
      <c r="AY26" s="206">
        <f>SUM(AM26:AW26)</f>
        <v/>
      </c>
      <c r="AZ26" s="206" t="n"/>
      <c r="BA26" s="134" t="n"/>
    </row>
    <row r="27" ht="30" customHeight="1" s="447">
      <c r="B27" s="372" t="inlineStr">
        <is>
          <t>介護職員条件満たしているか</t>
        </is>
      </c>
      <c r="C27" s="288" t="inlineStr">
        <is>
          <t>A(9:00-17:00)</t>
        </is>
      </c>
      <c r="D27" s="252" t="n"/>
      <c r="E27" s="252" t="n"/>
      <c r="F27" s="252" t="n"/>
      <c r="G27" s="246">
        <f>COUNTIF(G$6:G$15,"Ａ")</f>
        <v/>
      </c>
      <c r="H27" s="246">
        <f>COUNTIF(H$6:H$15,"Ａ")</f>
        <v/>
      </c>
      <c r="I27" s="246">
        <f>COUNTIF(I$6:I$15,"Ａ")</f>
        <v/>
      </c>
      <c r="J27" s="246">
        <f>COUNTIF(J$6:J$15,"Ａ")</f>
        <v/>
      </c>
      <c r="K27" s="246">
        <f>COUNTIF(K$6:K$15,"Ａ")</f>
        <v/>
      </c>
      <c r="L27" s="246">
        <f>COUNTIF(L$6:L$15,"Ａ")</f>
        <v/>
      </c>
      <c r="M27" s="246">
        <f>COUNTIF(M$6:M$15,"Ａ")</f>
        <v/>
      </c>
      <c r="N27" s="246">
        <f>COUNTIF(N$6:N$15,"Ａ")</f>
        <v/>
      </c>
      <c r="O27" s="246">
        <f>COUNTIF(O$6:O$15,"Ａ")</f>
        <v/>
      </c>
      <c r="P27" s="246">
        <f>COUNTIF(P$6:P$15,"Ａ")</f>
        <v/>
      </c>
      <c r="Q27" s="246">
        <f>COUNTIF(Q$6:Q$15,"Ａ")</f>
        <v/>
      </c>
      <c r="R27" s="246">
        <f>COUNTIF(R$6:R$15,"Ａ")</f>
        <v/>
      </c>
      <c r="S27" s="246">
        <f>COUNTIF(S$6:S$15,"Ａ")</f>
        <v/>
      </c>
      <c r="T27" s="246">
        <f>COUNTIF(T$6:T$15,"Ａ")</f>
        <v/>
      </c>
      <c r="U27" s="246">
        <f>COUNTIF(U$6:U$15,"Ａ")</f>
        <v/>
      </c>
      <c r="V27" s="246">
        <f>COUNTIF(V$6:V$15,"Ａ")</f>
        <v/>
      </c>
      <c r="W27" s="246">
        <f>COUNTIF(W$6:W$15,"Ａ")</f>
        <v/>
      </c>
      <c r="X27" s="246">
        <f>COUNTIF(X$6:X$15,"Ａ")</f>
        <v/>
      </c>
      <c r="Y27" s="246">
        <f>COUNTIF(Y$6:Y$15,"Ａ")</f>
        <v/>
      </c>
      <c r="Z27" s="246">
        <f>COUNTIF(Z$6:Z$15,"Ａ")</f>
        <v/>
      </c>
      <c r="AA27" s="246">
        <f>COUNTIF(AA$6:AA$15,"Ａ")</f>
        <v/>
      </c>
      <c r="AB27" s="246">
        <f>COUNTIF(AB$6:AB$15,"Ａ")</f>
        <v/>
      </c>
      <c r="AC27" s="246">
        <f>COUNTIF(AC$6:AC$15,"Ａ")</f>
        <v/>
      </c>
      <c r="AD27" s="246">
        <f>COUNTIF(AD$6:AD$15,"Ａ")</f>
        <v/>
      </c>
      <c r="AE27" s="246">
        <f>COUNTIF(AE$6:AE$15,"Ａ")</f>
        <v/>
      </c>
      <c r="AF27" s="246">
        <f>COUNTIF(AF$6:AF$15,"Ａ")</f>
        <v/>
      </c>
      <c r="AG27" s="246">
        <f>COUNTIF(AG$6:AG$15,"Ａ")</f>
        <v/>
      </c>
      <c r="AH27" s="246">
        <f>COUNTIF(AH$6:AH$15,"Ａ")</f>
        <v/>
      </c>
      <c r="AI27" s="246">
        <f>COUNTIF(AI$6:AI$15,"Ａ")</f>
        <v/>
      </c>
      <c r="AJ27" s="246">
        <f>COUNTIF(AJ$6:AJ$15,"Ａ")</f>
        <v/>
      </c>
      <c r="AK27" s="246">
        <f>COUNTIF(AK$6:AK$15,"Ａ")</f>
        <v/>
      </c>
      <c r="AM27" s="245" t="n"/>
      <c r="AN27" s="245" t="n"/>
      <c r="AO27" s="245" t="n"/>
      <c r="AP27" s="245" t="n"/>
      <c r="AQ27" s="245" t="n"/>
      <c r="AR27" s="245">
        <f>SUM(AM26:AR26)</f>
        <v/>
      </c>
      <c r="AS27" s="245" t="n"/>
      <c r="AT27" s="245" t="n"/>
      <c r="AU27" s="245" t="n"/>
      <c r="AV27" s="245" t="n"/>
      <c r="AW27" s="245" t="n"/>
      <c r="AX27" s="245" t="n"/>
      <c r="AY27" s="245" t="n"/>
      <c r="AZ27" s="245" t="n"/>
    </row>
    <row r="28" ht="30" customHeight="1" s="447">
      <c r="B28" s="460" t="n"/>
      <c r="C28" s="253" t="inlineStr">
        <is>
          <t>B(7:00-16:00)</t>
        </is>
      </c>
      <c r="D28" s="252" t="n"/>
      <c r="E28" s="252" t="n"/>
      <c r="F28" s="252" t="n"/>
      <c r="G28" s="246">
        <f>COUNTIF(G$6:G$15,"Ｂ")</f>
        <v/>
      </c>
      <c r="H28" s="246">
        <f>COUNTIF(H$6:H$15,"Ｂ")</f>
        <v/>
      </c>
      <c r="I28" s="246">
        <f>COUNTIF(I$6:I$15,"Ｂ")</f>
        <v/>
      </c>
      <c r="J28" s="246">
        <f>COUNTIF(J$6:J$15,"Ｂ")</f>
        <v/>
      </c>
      <c r="K28" s="246">
        <f>COUNTIF(K$6:K$15,"Ｂ")</f>
        <v/>
      </c>
      <c r="L28" s="246">
        <f>COUNTIF(L$6:L$15,"Ｂ")</f>
        <v/>
      </c>
      <c r="M28" s="246">
        <f>COUNTIF(M$6:M$15,"Ｂ")</f>
        <v/>
      </c>
      <c r="N28" s="246">
        <f>COUNTIF(N$6:N$15,"Ｂ")</f>
        <v/>
      </c>
      <c r="O28" s="246">
        <f>COUNTIF(O$6:O$15,"Ｂ")</f>
        <v/>
      </c>
      <c r="P28" s="246">
        <f>COUNTIF(P$6:P$15,"Ｂ")</f>
        <v/>
      </c>
      <c r="Q28" s="246">
        <f>COUNTIF(Q$6:Q$15,"Ｂ")</f>
        <v/>
      </c>
      <c r="R28" s="246">
        <f>COUNTIF(R$6:R$15,"Ｂ")</f>
        <v/>
      </c>
      <c r="S28" s="246">
        <f>COUNTIF(S$6:S$15,"Ｂ")</f>
        <v/>
      </c>
      <c r="T28" s="246">
        <f>COUNTIF(T$6:T$15,"Ｂ")</f>
        <v/>
      </c>
      <c r="U28" s="246">
        <f>COUNTIF(U$6:U$15,"Ｂ")</f>
        <v/>
      </c>
      <c r="V28" s="246">
        <f>COUNTIF(V$6:V$15,"Ｂ")</f>
        <v/>
      </c>
      <c r="W28" s="246">
        <f>COUNTIF(W$6:W$15,"Ｂ")</f>
        <v/>
      </c>
      <c r="X28" s="246">
        <f>COUNTIF(X$6:X$15,"Ｂ")</f>
        <v/>
      </c>
      <c r="Y28" s="246">
        <f>COUNTIF(Y$6:Y$15,"Ｂ")</f>
        <v/>
      </c>
      <c r="Z28" s="246">
        <f>COUNTIF(Z$6:Z$15,"Ｂ")</f>
        <v/>
      </c>
      <c r="AA28" s="246">
        <f>COUNTIF(AA$6:AA$15,"Ｂ")</f>
        <v/>
      </c>
      <c r="AB28" s="246">
        <f>COUNTIF(AB$6:AB$15,"Ｂ")</f>
        <v/>
      </c>
      <c r="AC28" s="246">
        <f>COUNTIF(AC$6:AC$15,"Ｂ")</f>
        <v/>
      </c>
      <c r="AD28" s="246">
        <f>COUNTIF(AD$6:AD$15,"Ｂ")</f>
        <v/>
      </c>
      <c r="AE28" s="246">
        <f>COUNTIF(AE$6:AE$15,"Ｂ")</f>
        <v/>
      </c>
      <c r="AF28" s="246">
        <f>COUNTIF(AF$6:AF$15,"Ｂ")</f>
        <v/>
      </c>
      <c r="AG28" s="246">
        <f>COUNTIF(AG$6:AG$15,"Ｂ")</f>
        <v/>
      </c>
      <c r="AH28" s="246">
        <f>COUNTIF(AH$6:AH$15,"Ｂ")</f>
        <v/>
      </c>
      <c r="AI28" s="246">
        <f>COUNTIF(AI$6:AI$15,"Ｂ")</f>
        <v/>
      </c>
      <c r="AJ28" s="246">
        <f>COUNTIF(AJ$6:AJ$15,"Ｂ")</f>
        <v/>
      </c>
      <c r="AK28" s="246">
        <f>COUNTIF(AK$6:AK$15,"Ｂ")</f>
        <v/>
      </c>
      <c r="AM28" s="245">
        <f t="array" ref="AM28">SUMPRODUCT((A1:A10)*(CELL("color", A1:A10)=7))</f>
        <v/>
      </c>
      <c r="AN28" s="246" t="n"/>
      <c r="AO28" s="246" t="n"/>
      <c r="AP28" s="245" t="n"/>
      <c r="AQ28" s="254" t="n"/>
      <c r="AR28" s="245" t="n"/>
      <c r="AS28" s="246" t="n"/>
      <c r="AT28" s="245" t="n"/>
      <c r="AU28" s="245" t="n"/>
      <c r="AV28" s="245" t="n"/>
      <c r="AW28" s="246" t="n"/>
      <c r="AX28" s="246" t="n"/>
      <c r="AY28" s="245" t="n"/>
      <c r="AZ28" s="245" t="n"/>
    </row>
    <row r="29" ht="30" customHeight="1" s="447">
      <c r="B29" s="460" t="n"/>
      <c r="C29" s="253" t="inlineStr">
        <is>
          <t>C(12:30-20:30)</t>
        </is>
      </c>
      <c r="D29" s="252" t="n"/>
      <c r="E29" s="252" t="n"/>
      <c r="F29" s="252" t="n"/>
      <c r="G29" s="246">
        <f>COUNTIF(G$6:G$15,"Ｃ")</f>
        <v/>
      </c>
      <c r="H29" s="246">
        <f>COUNTIF(H$6:H$15,"Ｃ")</f>
        <v/>
      </c>
      <c r="I29" s="246">
        <f>COUNTIF(I$6:I$15,"Ｃ")</f>
        <v/>
      </c>
      <c r="J29" s="246">
        <f>COUNTIF(J$6:J$15,"Ｃ")</f>
        <v/>
      </c>
      <c r="K29" s="246">
        <f>COUNTIF(K$6:K$15,"Ｃ")</f>
        <v/>
      </c>
      <c r="L29" s="246">
        <f>COUNTIF(L$6:L$15,"Ｃ")</f>
        <v/>
      </c>
      <c r="M29" s="246">
        <f>COUNTIF(M$6:M$15,"Ｃ")</f>
        <v/>
      </c>
      <c r="N29" s="246">
        <f>COUNTIF(N$6:N$15,"Ｃ")</f>
        <v/>
      </c>
      <c r="O29" s="246">
        <f>COUNTIF(O$6:O$15,"Ｃ")</f>
        <v/>
      </c>
      <c r="P29" s="246">
        <f>COUNTIF(P$6:P$15,"Ｃ")</f>
        <v/>
      </c>
      <c r="Q29" s="246">
        <f>COUNTIF(Q$6:Q$15,"Ｃ")</f>
        <v/>
      </c>
      <c r="R29" s="246">
        <f>COUNTIF(R$6:R$15,"Ｃ")</f>
        <v/>
      </c>
      <c r="S29" s="246">
        <f>COUNTIF(S$6:S$15,"Ｃ")</f>
        <v/>
      </c>
      <c r="T29" s="246">
        <f>COUNTIF(T$6:T$15,"Ｃ")</f>
        <v/>
      </c>
      <c r="U29" s="246">
        <f>COUNTIF(U$6:U$15,"Ｃ")</f>
        <v/>
      </c>
      <c r="V29" s="246">
        <f>COUNTIF(V$6:V$15,"Ｃ")</f>
        <v/>
      </c>
      <c r="W29" s="246">
        <f>COUNTIF(W$6:W$15,"Ｃ")</f>
        <v/>
      </c>
      <c r="X29" s="246">
        <f>COUNTIF(X$6:X$15,"Ｃ")</f>
        <v/>
      </c>
      <c r="Y29" s="246">
        <f>COUNTIF(Y$6:Y$15,"Ｃ")</f>
        <v/>
      </c>
      <c r="Z29" s="246">
        <f>COUNTIF(Z$6:Z$15,"Ｃ")</f>
        <v/>
      </c>
      <c r="AA29" s="246">
        <f>COUNTIF(AA$6:AA$15,"Ｃ")</f>
        <v/>
      </c>
      <c r="AB29" s="246">
        <f>COUNTIF(AB$6:AB$15,"Ｃ")</f>
        <v/>
      </c>
      <c r="AC29" s="246">
        <f>COUNTIF(AC$6:AC$15,"Ｃ")</f>
        <v/>
      </c>
      <c r="AD29" s="246">
        <f>COUNTIF(AD$6:AD$15,"Ｃ")</f>
        <v/>
      </c>
      <c r="AE29" s="246">
        <f>COUNTIF(AE$6:AE$15,"Ｃ")</f>
        <v/>
      </c>
      <c r="AF29" s="246">
        <f>COUNTIF(AF$6:AF$15,"Ｃ")</f>
        <v/>
      </c>
      <c r="AG29" s="246">
        <f>COUNTIF(AG$6:AG$15,"Ｃ")</f>
        <v/>
      </c>
      <c r="AH29" s="246">
        <f>COUNTIF(AH$6:AH$15,"Ｃ")</f>
        <v/>
      </c>
      <c r="AI29" s="246">
        <f>COUNTIF(AI$6:AI$15,"Ｃ")</f>
        <v/>
      </c>
      <c r="AJ29" s="246">
        <f>COUNTIF(AJ$6:AJ$15,"Ｃ")</f>
        <v/>
      </c>
      <c r="AK29" s="246">
        <f>COUNTIF(AK$6:AK$15,"Ｃ")</f>
        <v/>
      </c>
      <c r="AM29" s="245" t="n"/>
      <c r="AN29" s="246" t="n"/>
      <c r="AO29" s="246" t="n"/>
      <c r="AP29" s="245" t="n"/>
      <c r="AQ29" s="245" t="n"/>
      <c r="AR29" s="245" t="n"/>
      <c r="AS29" s="246" t="n"/>
      <c r="AT29" s="245" t="n"/>
      <c r="AU29" s="245" t="n"/>
      <c r="AV29" s="245" t="n"/>
      <c r="AW29" s="245" t="n"/>
      <c r="AX29" s="245" t="n"/>
      <c r="AY29" s="245" t="n"/>
      <c r="AZ29" s="245" t="n"/>
    </row>
    <row r="30" ht="30" customHeight="1" s="447">
      <c r="B30" s="460" t="n"/>
      <c r="C30" s="253" t="inlineStr">
        <is>
          <t>D(8:30-16:30)</t>
        </is>
      </c>
      <c r="D30" s="252" t="n"/>
      <c r="E30" s="252" t="n"/>
      <c r="F30" s="252" t="n"/>
      <c r="G30" s="246">
        <f>COUNTIF(G$6:G$15,"Ｄ")</f>
        <v/>
      </c>
      <c r="H30" s="246">
        <f>COUNTIF(H$6:H$15,"Ｄ")</f>
        <v/>
      </c>
      <c r="I30" s="246">
        <f>COUNTIF(I$6:I$15,"Ｄ")</f>
        <v/>
      </c>
      <c r="J30" s="246">
        <f>COUNTIF(J$6:J$15,"Ｄ")</f>
        <v/>
      </c>
      <c r="K30" s="246">
        <f>COUNTIF(K$6:K$15,"Ｄ")</f>
        <v/>
      </c>
      <c r="L30" s="246">
        <f>COUNTIF(L$6:L$15,"Ｄ")</f>
        <v/>
      </c>
      <c r="M30" s="246">
        <f>COUNTIF(M$6:M$15,"Ｄ")</f>
        <v/>
      </c>
      <c r="N30" s="246">
        <f>COUNTIF(N$6:N$15,"Ｄ")</f>
        <v/>
      </c>
      <c r="O30" s="246">
        <f>COUNTIF(O$6:O$15,"Ｄ")</f>
        <v/>
      </c>
      <c r="P30" s="246">
        <f>COUNTIF(P$6:P$15,"Ｄ")</f>
        <v/>
      </c>
      <c r="Q30" s="246">
        <f>COUNTIF(Q$6:Q$15,"Ｄ")</f>
        <v/>
      </c>
      <c r="R30" s="246">
        <f>COUNTIF(R$6:R$15,"Ｄ")</f>
        <v/>
      </c>
      <c r="S30" s="246">
        <f>COUNTIF(S$6:S$15,"Ｄ")</f>
        <v/>
      </c>
      <c r="T30" s="246">
        <f>COUNTIF(T$6:T$15,"Ｄ")</f>
        <v/>
      </c>
      <c r="U30" s="246">
        <f>COUNTIF(U$6:U$15,"Ｄ")</f>
        <v/>
      </c>
      <c r="V30" s="246">
        <f>COUNTIF(V$6:V$15,"Ｄ")</f>
        <v/>
      </c>
      <c r="W30" s="246">
        <f>COUNTIF(W$6:W$15,"Ｄ")</f>
        <v/>
      </c>
      <c r="X30" s="246">
        <f>COUNTIF(X$6:X$15,"Ｄ")</f>
        <v/>
      </c>
      <c r="Y30" s="246">
        <f>COUNTIF(Y$6:Y$15,"Ｄ")</f>
        <v/>
      </c>
      <c r="Z30" s="246">
        <f>COUNTIF(Z$6:Z$15,"Ｄ")</f>
        <v/>
      </c>
      <c r="AA30" s="246">
        <f>COUNTIF(AA$6:AA$15,"Ｄ")</f>
        <v/>
      </c>
      <c r="AB30" s="246">
        <f>COUNTIF(AB$6:AB$15,"Ｄ")</f>
        <v/>
      </c>
      <c r="AC30" s="246">
        <f>COUNTIF(AC$6:AC$15,"Ｄ")</f>
        <v/>
      </c>
      <c r="AD30" s="246">
        <f>COUNTIF(AD$6:AD$15,"Ｄ")</f>
        <v/>
      </c>
      <c r="AE30" s="246">
        <f>COUNTIF(AE$6:AE$15,"Ｄ")</f>
        <v/>
      </c>
      <c r="AF30" s="246">
        <f>COUNTIF(AF$6:AF$15,"Ｄ")</f>
        <v/>
      </c>
      <c r="AG30" s="246">
        <f>COUNTIF(AG$6:AG$15,"Ｄ")</f>
        <v/>
      </c>
      <c r="AH30" s="246">
        <f>COUNTIF(AH$6:AH$15,"Ｄ")</f>
        <v/>
      </c>
      <c r="AI30" s="246">
        <f>COUNTIF(AI$6:AI$15,"Ｄ")</f>
        <v/>
      </c>
      <c r="AJ30" s="246">
        <f>COUNTIF(AJ$6:AJ$15,"Ｄ")</f>
        <v/>
      </c>
      <c r="AK30" s="246">
        <f>COUNTIF(AK$6:AK$15,"Ｄ")</f>
        <v/>
      </c>
      <c r="AM30" s="245" t="n"/>
      <c r="AN30" s="246" t="n"/>
      <c r="AO30" s="246" t="n"/>
      <c r="AP30" s="245" t="n"/>
      <c r="AQ30" s="245" t="n"/>
      <c r="AR30" s="245" t="n"/>
      <c r="AS30" s="246" t="n"/>
      <c r="AT30" s="245" t="n"/>
      <c r="AU30" s="245" t="n"/>
      <c r="AV30" s="245" t="n"/>
      <c r="AW30" s="245" t="n"/>
      <c r="AX30" s="245" t="n"/>
      <c r="AY30" s="245" t="n"/>
      <c r="AZ30" s="245" t="n"/>
    </row>
    <row r="31" ht="30" customHeight="1" s="447">
      <c r="B31" s="460" t="n"/>
      <c r="C31" s="253" t="inlineStr">
        <is>
          <t>夜勤(17:00-1:00)</t>
        </is>
      </c>
      <c r="D31" s="252" t="n"/>
      <c r="E31" s="252" t="n"/>
      <c r="F31" s="252" t="n"/>
      <c r="G31" s="246">
        <f>COUNTIF(G$6:G$15,"夜")</f>
        <v/>
      </c>
      <c r="H31" s="246">
        <f>COUNTIF(H$6:H$15,"夜")</f>
        <v/>
      </c>
      <c r="I31" s="246">
        <f>COUNTIF(I$6:I$15,"夜")</f>
        <v/>
      </c>
      <c r="J31" s="246">
        <f>COUNTIF(J$6:J$15,"夜")</f>
        <v/>
      </c>
      <c r="K31" s="246">
        <f>COUNTIF(K$6:K$15,"夜")</f>
        <v/>
      </c>
      <c r="L31" s="246">
        <f>COUNTIF(L$6:L$15,"夜")</f>
        <v/>
      </c>
      <c r="M31" s="246">
        <f>COUNTIF(M$6:M$15,"夜")</f>
        <v/>
      </c>
      <c r="N31" s="246">
        <f>COUNTIF(N$6:N$15,"夜")</f>
        <v/>
      </c>
      <c r="O31" s="246">
        <f>COUNTIF(O$6:O$15,"夜")</f>
        <v/>
      </c>
      <c r="P31" s="246">
        <f>COUNTIF(P$6:P$15,"夜")</f>
        <v/>
      </c>
      <c r="Q31" s="246">
        <f>COUNTIF(Q$6:Q$15,"夜")</f>
        <v/>
      </c>
      <c r="R31" s="246">
        <f>COUNTIF(R$6:R$15,"夜")</f>
        <v/>
      </c>
      <c r="S31" s="246">
        <f>COUNTIF(S$6:S$15,"夜")</f>
        <v/>
      </c>
      <c r="T31" s="246">
        <f>COUNTIF(T$6:T$15,"夜")</f>
        <v/>
      </c>
      <c r="U31" s="246">
        <f>COUNTIF(U$6:U$15,"夜")</f>
        <v/>
      </c>
      <c r="V31" s="246">
        <f>COUNTIF(V$6:V$15,"夜")</f>
        <v/>
      </c>
      <c r="W31" s="246">
        <f>COUNTIF(W$6:W$15,"夜")</f>
        <v/>
      </c>
      <c r="X31" s="246">
        <f>COUNTIF(X$6:X$15,"夜")</f>
        <v/>
      </c>
      <c r="Y31" s="246">
        <f>COUNTIF(Y$6:Y$15,"夜")</f>
        <v/>
      </c>
      <c r="Z31" s="246">
        <f>COUNTIF(Z$6:Z$15,"夜")</f>
        <v/>
      </c>
      <c r="AA31" s="246">
        <f>COUNTIF(AA$6:AA$15,"夜")</f>
        <v/>
      </c>
      <c r="AB31" s="246">
        <f>COUNTIF(AB$6:AB$15,"夜")</f>
        <v/>
      </c>
      <c r="AC31" s="246">
        <f>COUNTIF(AC$6:AC$15,"夜")</f>
        <v/>
      </c>
      <c r="AD31" s="246">
        <f>COUNTIF(AD$6:AD$15,"夜")</f>
        <v/>
      </c>
      <c r="AE31" s="246">
        <f>COUNTIF(AE$6:AE$15,"夜")</f>
        <v/>
      </c>
      <c r="AF31" s="246">
        <f>COUNTIF(AF$6:AF$15,"夜")</f>
        <v/>
      </c>
      <c r="AG31" s="246">
        <f>COUNTIF(AG$6:AG$15,"夜")</f>
        <v/>
      </c>
      <c r="AH31" s="246">
        <f>COUNTIF(AH$6:AH$15,"夜")</f>
        <v/>
      </c>
      <c r="AI31" s="246">
        <f>COUNTIF(AI$6:AI$15,"夜")</f>
        <v/>
      </c>
      <c r="AJ31" s="246">
        <f>COUNTIF(AJ$6:AJ$15,"夜")</f>
        <v/>
      </c>
      <c r="AK31" s="246">
        <f>COUNTIF(AK$6:AK$15,"夜")</f>
        <v/>
      </c>
      <c r="AM31" s="245" t="n"/>
      <c r="AN31" s="246" t="n"/>
      <c r="AO31" s="246" t="n"/>
      <c r="AP31" s="245" t="n"/>
      <c r="AQ31" s="247" t="n"/>
      <c r="AR31" s="245" t="n"/>
      <c r="AS31" s="246" t="n"/>
      <c r="AT31" s="245" t="n"/>
      <c r="AU31" s="245" t="n"/>
      <c r="AV31" s="245" t="n"/>
      <c r="AW31" s="245" t="n"/>
      <c r="AX31" s="245" t="n"/>
      <c r="AY31" s="245" t="n"/>
      <c r="AZ31" s="245" t="n"/>
    </row>
    <row r="32" ht="30" customHeight="1" s="447">
      <c r="B32" s="460" t="n"/>
      <c r="C32" s="253" t="inlineStr">
        <is>
          <t>明け(1:00-9:00)</t>
        </is>
      </c>
      <c r="D32" s="252" t="n"/>
      <c r="E32" s="252" t="n"/>
      <c r="F32" s="252" t="n"/>
      <c r="G32" s="246">
        <f>COUNTIF(G$6:G$15,"明")</f>
        <v/>
      </c>
      <c r="H32" s="246">
        <f>COUNTIF(H$6:H$15,"明")</f>
        <v/>
      </c>
      <c r="I32" s="246">
        <f>COUNTIF(I$6:I$15,"明")</f>
        <v/>
      </c>
      <c r="J32" s="246">
        <f>COUNTIF(J$6:J$15,"明")</f>
        <v/>
      </c>
      <c r="K32" s="246">
        <f>COUNTIF(K$6:K$15,"明")</f>
        <v/>
      </c>
      <c r="L32" s="246">
        <f>COUNTIF(L$6:L$15,"明")</f>
        <v/>
      </c>
      <c r="M32" s="246">
        <f>COUNTIF(M$6:M$15,"明")</f>
        <v/>
      </c>
      <c r="N32" s="246">
        <f>COUNTIF(N$6:N$15,"明")</f>
        <v/>
      </c>
      <c r="O32" s="246">
        <f>COUNTIF(O$6:O$15,"明")</f>
        <v/>
      </c>
      <c r="P32" s="246">
        <f>COUNTIF(P$6:P$15,"明")</f>
        <v/>
      </c>
      <c r="Q32" s="246">
        <f>COUNTIF(Q$6:Q$15,"明")</f>
        <v/>
      </c>
      <c r="R32" s="246">
        <f>COUNTIF(R$6:R$15,"明")</f>
        <v/>
      </c>
      <c r="S32" s="246">
        <f>COUNTIF(S$6:S$15,"明")</f>
        <v/>
      </c>
      <c r="T32" s="246">
        <f>COUNTIF(T$6:T$15,"明")</f>
        <v/>
      </c>
      <c r="U32" s="246">
        <f>COUNTIF(U$6:U$15,"明")</f>
        <v/>
      </c>
      <c r="V32" s="246">
        <f>COUNTIF(V$6:V$15,"明")</f>
        <v/>
      </c>
      <c r="W32" s="246">
        <f>COUNTIF(W$6:W$15,"明")</f>
        <v/>
      </c>
      <c r="X32" s="246">
        <f>COUNTIF(X$6:X$15,"明")</f>
        <v/>
      </c>
      <c r="Y32" s="246">
        <f>COUNTIF(Y$6:Y$15,"明")</f>
        <v/>
      </c>
      <c r="Z32" s="246">
        <f>COUNTIF(Z$6:Z$15,"明")</f>
        <v/>
      </c>
      <c r="AA32" s="246">
        <f>COUNTIF(AA$6:AA$15,"明")</f>
        <v/>
      </c>
      <c r="AB32" s="246">
        <f>COUNTIF(AB$6:AB$15,"明")</f>
        <v/>
      </c>
      <c r="AC32" s="246">
        <f>COUNTIF(AC$6:AC$15,"明")</f>
        <v/>
      </c>
      <c r="AD32" s="246">
        <f>COUNTIF(AD$6:AD$15,"明")</f>
        <v/>
      </c>
      <c r="AE32" s="246">
        <f>COUNTIF(AE$6:AE$15,"明")</f>
        <v/>
      </c>
      <c r="AF32" s="246">
        <f>COUNTIF(AF$6:AF$15,"明")</f>
        <v/>
      </c>
      <c r="AG32" s="246">
        <f>COUNTIF(AG$6:AG$15,"明")</f>
        <v/>
      </c>
      <c r="AH32" s="246">
        <f>COUNTIF(AH$6:AH$15,"明")</f>
        <v/>
      </c>
      <c r="AI32" s="246">
        <f>COUNTIF(AI$6:AI$15,"明")</f>
        <v/>
      </c>
      <c r="AJ32" s="246">
        <f>COUNTIF(AJ$6:AJ$15,"明")</f>
        <v/>
      </c>
      <c r="AK32" s="246">
        <f>COUNTIF(AK$6:AK$15,"明")</f>
        <v/>
      </c>
      <c r="AM32" s="245" t="n"/>
      <c r="AN32" s="246" t="n"/>
      <c r="AO32" s="246" t="n"/>
      <c r="AP32" s="245" t="n"/>
      <c r="AQ32" s="245" t="n"/>
      <c r="AR32" s="245" t="n"/>
      <c r="AS32" s="246" t="n"/>
      <c r="AT32" s="245" t="n"/>
      <c r="AU32" s="245" t="n"/>
      <c r="AV32" s="245" t="n"/>
      <c r="AW32" s="245" t="n"/>
      <c r="AX32" s="245" t="n"/>
      <c r="AY32" s="245" t="n"/>
      <c r="AZ32" s="245" t="n"/>
    </row>
    <row r="33" ht="30" customHeight="1" s="447">
      <c r="B33" s="460" t="n"/>
      <c r="C33" s="255" t="inlineStr">
        <is>
          <t>出勤合計</t>
        </is>
      </c>
      <c r="D33" s="246" t="n"/>
      <c r="E33" s="246" t="n"/>
      <c r="F33" s="246" t="n"/>
      <c r="G33" s="246">
        <f>SUM(G27:G32)</f>
        <v/>
      </c>
      <c r="H33" s="246">
        <f>SUM(H27:H32)</f>
        <v/>
      </c>
      <c r="I33" s="246">
        <f>SUM(I27:I32)</f>
        <v/>
      </c>
      <c r="J33" s="246">
        <f>SUM(J27:J32)</f>
        <v/>
      </c>
      <c r="K33" s="246">
        <f>SUM(K27:K32)</f>
        <v/>
      </c>
      <c r="L33" s="246">
        <f>SUM(L27:L32)</f>
        <v/>
      </c>
      <c r="M33" s="246">
        <f>SUM(M27:M32)</f>
        <v/>
      </c>
      <c r="N33" s="246">
        <f>SUM(N27:N32)</f>
        <v/>
      </c>
      <c r="O33" s="246">
        <f>SUM(O27:O32)</f>
        <v/>
      </c>
      <c r="P33" s="246">
        <f>SUM(P27:P32)</f>
        <v/>
      </c>
      <c r="Q33" s="246">
        <f>SUM(Q27:Q32)</f>
        <v/>
      </c>
      <c r="R33" s="246">
        <f>SUM(R27:R32)</f>
        <v/>
      </c>
      <c r="S33" s="246">
        <f>SUM(S27:S32)</f>
        <v/>
      </c>
      <c r="T33" s="246">
        <f>SUM(T27:T32)</f>
        <v/>
      </c>
      <c r="U33" s="246">
        <f>SUM(U27:U32)</f>
        <v/>
      </c>
      <c r="V33" s="246">
        <f>SUM(V27:V32)</f>
        <v/>
      </c>
      <c r="W33" s="246">
        <f>SUM(W27:W32)</f>
        <v/>
      </c>
      <c r="X33" s="246">
        <f>SUM(X27:X32)</f>
        <v/>
      </c>
      <c r="Y33" s="246">
        <f>SUM(Y27:Y32)</f>
        <v/>
      </c>
      <c r="Z33" s="246">
        <f>SUM(Z27:Z32)</f>
        <v/>
      </c>
      <c r="AA33" s="246">
        <f>SUM(AA27:AA32)</f>
        <v/>
      </c>
      <c r="AB33" s="246">
        <f>SUM(AB27:AB32)</f>
        <v/>
      </c>
      <c r="AC33" s="246">
        <f>SUM(AC27:AC32)</f>
        <v/>
      </c>
      <c r="AD33" s="246">
        <f>SUM(AD27:AD32)</f>
        <v/>
      </c>
      <c r="AE33" s="246">
        <f>SUM(AE27:AE32)</f>
        <v/>
      </c>
      <c r="AF33" s="246">
        <f>SUM(AF27:AF32)</f>
        <v/>
      </c>
      <c r="AG33" s="246">
        <f>SUM(AG27:AG32)</f>
        <v/>
      </c>
      <c r="AH33" s="246">
        <f>SUM(AH27:AH32)</f>
        <v/>
      </c>
      <c r="AI33" s="246">
        <f>SUM(AI27:AI32)</f>
        <v/>
      </c>
      <c r="AJ33" s="246">
        <f>SUM(AJ27:AJ32)</f>
        <v/>
      </c>
      <c r="AK33" s="246">
        <f>SUM(AK27:AK32)</f>
        <v/>
      </c>
      <c r="AM33" s="245" t="n"/>
      <c r="AN33" s="246" t="n"/>
      <c r="AO33" s="246" t="n"/>
      <c r="AP33" s="245" t="n"/>
      <c r="AQ33" s="247" t="n"/>
      <c r="AR33" s="245" t="n"/>
      <c r="AS33" s="246" t="n"/>
      <c r="AT33" s="245" t="n"/>
      <c r="AU33" s="245" t="n"/>
      <c r="AV33" s="245" t="n"/>
      <c r="AW33" s="245" t="n"/>
      <c r="AX33" s="245" t="n"/>
      <c r="AY33" s="245" t="n"/>
      <c r="AZ33" s="245" t="n"/>
    </row>
    <row r="34" ht="30" customHeight="1" s="447">
      <c r="B34" s="460" t="n"/>
      <c r="C34" s="255" t="inlineStr">
        <is>
          <t>休日・有給</t>
        </is>
      </c>
      <c r="D34" s="246" t="n"/>
      <c r="E34" s="246" t="n"/>
      <c r="F34" s="246" t="n"/>
      <c r="G34" s="246">
        <f>COUNTIF(G$6:G$15,"休")+COUNTIF(G$6:G$15,"希")+COUNTIF(G$6:G$15,"有")</f>
        <v/>
      </c>
      <c r="H34" s="246">
        <f>COUNTIF(H$6:H$15,"休")+COUNTIF(H$6:H$15,"希")+COUNTIF(H$6:H$15,"有")</f>
        <v/>
      </c>
      <c r="I34" s="246">
        <f>COUNTIF(I$6:I$15,"休")+COUNTIF(I$6:I$15,"希")+COUNTIF(I$6:I$15,"有")</f>
        <v/>
      </c>
      <c r="J34" s="246">
        <f>COUNTIF(J$6:J$15,"休")+COUNTIF(J$6:J$15,"希")+COUNTIF(J$6:J$15,"有")</f>
        <v/>
      </c>
      <c r="K34" s="246">
        <f>COUNTIF(K$6:K$15,"休")+COUNTIF(K$6:K$15,"希")+COUNTIF(K$6:K$15,"有")</f>
        <v/>
      </c>
      <c r="L34" s="246">
        <f>COUNTIF(L$6:L$15,"休")+COUNTIF(L$6:L$15,"希")+COUNTIF(L$6:L$15,"有")</f>
        <v/>
      </c>
      <c r="M34" s="246">
        <f>COUNTIF(M$6:M$15,"休")+COUNTIF(M$6:M$15,"希")+COUNTIF(M$6:M$15,"有")</f>
        <v/>
      </c>
      <c r="N34" s="246">
        <f>COUNTIF(N$6:N$15,"休")+COUNTIF(N$6:N$15,"希")+COUNTIF(N$6:N$15,"有")</f>
        <v/>
      </c>
      <c r="O34" s="246">
        <f>COUNTIF(O$6:O$15,"休")+COUNTIF(O$6:O$15,"希")+COUNTIF(O$6:O$15,"有")</f>
        <v/>
      </c>
      <c r="P34" s="246">
        <f>COUNTIF(P$6:P$15,"休")+COUNTIF(P$6:P$15,"希")+COUNTIF(P$6:P$15,"有")</f>
        <v/>
      </c>
      <c r="Q34" s="246">
        <f>COUNTIF(Q$6:Q$15,"休")+COUNTIF(Q$6:Q$15,"希")+COUNTIF(Q$6:Q$15,"有")</f>
        <v/>
      </c>
      <c r="R34" s="246">
        <f>COUNTIF(R$6:R$15,"休")+COUNTIF(R$6:R$15,"希")+COUNTIF(R$6:R$15,"有")</f>
        <v/>
      </c>
      <c r="S34" s="246">
        <f>COUNTIF(S$6:S$15,"休")+COUNTIF(S$6:S$15,"希")+COUNTIF(S$6:S$15,"有")</f>
        <v/>
      </c>
      <c r="T34" s="246">
        <f>COUNTIF(T$6:T$15,"休")+COUNTIF(T$6:T$15,"希")+COUNTIF(T$6:T$15,"有")</f>
        <v/>
      </c>
      <c r="U34" s="246">
        <f>COUNTIF(U$6:U$15,"休")+COUNTIF(U$6:U$15,"希")+COUNTIF(U$6:U$15,"有")</f>
        <v/>
      </c>
      <c r="V34" s="246">
        <f>COUNTIF(V$6:V$15,"休")+COUNTIF(V$6:V$15,"希")+COUNTIF(V$6:V$15,"有")</f>
        <v/>
      </c>
      <c r="W34" s="246">
        <f>COUNTIF(W$6:W$15,"休")+COUNTIF(W$6:W$15,"希")+COUNTIF(W$6:W$15,"有")</f>
        <v/>
      </c>
      <c r="X34" s="246">
        <f>COUNTIF(X$6:X$15,"休")+COUNTIF(X$6:X$15,"希")+COUNTIF(X$6:X$15,"有")</f>
        <v/>
      </c>
      <c r="Y34" s="246">
        <f>COUNTIF(Y$6:Y$15,"休")+COUNTIF(Y$6:Y$15,"希")+COUNTIF(Y$6:Y$15,"有")</f>
        <v/>
      </c>
      <c r="Z34" s="246">
        <f>COUNTIF(Z$6:Z$15,"休")+COUNTIF(Z$6:Z$15,"希")+COUNTIF(Z$6:Z$15,"有")</f>
        <v/>
      </c>
      <c r="AA34" s="246">
        <f>COUNTIF(AA$6:AA$15,"休")+COUNTIF(AA$6:AA$15,"希")+COUNTIF(AA$6:AA$15,"有")</f>
        <v/>
      </c>
      <c r="AB34" s="246">
        <f>COUNTIF(AB$6:AB$15,"休")+COUNTIF(AB$6:AB$15,"希")+COUNTIF(AB$6:AB$15,"有")</f>
        <v/>
      </c>
      <c r="AC34" s="246">
        <f>COUNTIF(AC$6:AC$15,"休")+COUNTIF(AC$6:AC$15,"希")+COUNTIF(AC$6:AC$15,"有")</f>
        <v/>
      </c>
      <c r="AD34" s="246">
        <f>COUNTIF(AD$6:AD$15,"休")+COUNTIF(AD$6:AD$15,"希")+COUNTIF(AD$6:AD$15,"有")</f>
        <v/>
      </c>
      <c r="AE34" s="246">
        <f>COUNTIF(AE$6:AE$15,"休")+COUNTIF(AE$6:AE$15,"希")+COUNTIF(AE$6:AE$15,"有")</f>
        <v/>
      </c>
      <c r="AF34" s="246">
        <f>COUNTIF(AF$6:AF$15,"休")+COUNTIF(AF$6:AF$15,"希")+COUNTIF(AF$6:AF$15,"有")</f>
        <v/>
      </c>
      <c r="AG34" s="246">
        <f>COUNTIF(AG$6:AG$15,"休")+COUNTIF(AG$6:AG$15,"希")+COUNTIF(AG$6:AG$15,"有")</f>
        <v/>
      </c>
      <c r="AH34" s="246">
        <f>COUNTIF(AH$6:AH$15,"休")+COUNTIF(AH$6:AH$15,"希")+COUNTIF(AH$6:AH$15,"有")</f>
        <v/>
      </c>
      <c r="AI34" s="246">
        <f>COUNTIF(AI$6:AI$15,"休")+COUNTIF(AI$6:AI$15,"希")+COUNTIF(AI$6:AI$15,"有")</f>
        <v/>
      </c>
      <c r="AJ34" s="246">
        <f>COUNTIF(AJ$6:AJ$15,"休")+COUNTIF(AJ$6:AJ$15,"希")+COUNTIF(AJ$6:AJ$15,"有")</f>
        <v/>
      </c>
      <c r="AK34" s="246">
        <f>COUNTIF(AK$6:AK$15,"休")+COUNTIF(AK$6:AK$15,"希")+COUNTIF(AK$6:AK$15,"有")</f>
        <v/>
      </c>
      <c r="AM34" s="245" t="n"/>
      <c r="AN34" s="246" t="n"/>
      <c r="AO34" s="246" t="n"/>
      <c r="AP34" s="245" t="n"/>
      <c r="AQ34" s="247" t="n"/>
      <c r="AR34" s="245" t="n"/>
      <c r="AS34" s="246" t="n"/>
      <c r="AT34" s="245" t="n"/>
      <c r="AU34" s="245" t="n"/>
      <c r="AV34" s="245" t="n"/>
      <c r="AW34" s="245" t="n"/>
      <c r="AX34" s="245" t="n"/>
      <c r="AY34" s="245" t="n"/>
      <c r="AZ34" s="245" t="n"/>
    </row>
    <row r="35" ht="30" customHeight="1" s="447" thickBot="1">
      <c r="B35" s="461" t="n"/>
      <c r="C35" s="256" t="inlineStr">
        <is>
          <t>シフト成立</t>
        </is>
      </c>
      <c r="D35" s="257" t="n"/>
      <c r="E35" s="257" t="n"/>
      <c r="F35" s="257" t="n"/>
      <c r="G35" s="277">
        <f>IF(OR(AND(G31&gt;0,G32&gt;0,G28&gt;0,G29&gt;0),AND(G31&gt;0,G32&gt;0,G29&gt;0,G30&gt;0),AND(G31&gt;0,G32&gt;0,G27&gt;0,G29&gt;0)),"成立",IF(OR(AND(G31&gt;0,G32&gt;0,G27&gt;0),AND(G31&gt;0,G32&gt;0,G30&gt;0)),"30分残業","不成立"))</f>
        <v/>
      </c>
      <c r="H35" s="277">
        <f>IF(OR(AND(H31&gt;0,H32&gt;0,H28&gt;0,H29&gt;0),AND(H31&gt;0,H32&gt;0,H29&gt;0,H30&gt;0),AND(H31&gt;0,H32&gt;0,H27&gt;0,H29&gt;0)),"成立",IF(OR(AND(H31&gt;0,H32&gt;0,H27&gt;0),AND(H31&gt;0,H32&gt;0,H30&gt;0)),"30分残業","不成立"))</f>
        <v/>
      </c>
      <c r="I35" s="277">
        <f>IF(OR(AND(I31&gt;0,I32&gt;0,I28&gt;0,I29&gt;0),AND(I31&gt;0,I32&gt;0,I29&gt;0,I30&gt;0),AND(I31&gt;0,I32&gt;0,I27&gt;0,I29&gt;0)),"成立",IF(OR(AND(I31&gt;0,I32&gt;0,I27&gt;0),AND(I31&gt;0,I32&gt;0,I30&gt;0)),"30分残業","不成立"))</f>
        <v/>
      </c>
      <c r="J35" s="277">
        <f>IF(OR(AND(J31&gt;0,J32&gt;0,J28&gt;0,J29&gt;0),AND(J31&gt;0,J32&gt;0,J29&gt;0,J30&gt;0),AND(J31&gt;0,J32&gt;0,J27&gt;0,J29&gt;0)),"成立",IF(OR(AND(J31&gt;0,J32&gt;0,J27&gt;0),AND(J31&gt;0,J32&gt;0,J30&gt;0)),"30分残業","不成立"))</f>
        <v/>
      </c>
      <c r="K35" s="277">
        <f>IF(OR(AND(K31&gt;0,K32&gt;0,K28&gt;0,K29&gt;0),AND(K31&gt;0,K32&gt;0,K29&gt;0,K30&gt;0),AND(K31&gt;0,K32&gt;0,K27&gt;0,K29&gt;0)),"成立",IF(OR(AND(K31&gt;0,K32&gt;0,K27&gt;0),AND(K31&gt;0,K32&gt;0,K30&gt;0)),"30分残業","不成立"))</f>
        <v/>
      </c>
      <c r="L35" s="277">
        <f>IF(OR(AND(L31&gt;0,L32&gt;0,L28&gt;0,L29&gt;0),AND(L31&gt;0,L32&gt;0,L29&gt;0,L30&gt;0),AND(L31&gt;0,L32&gt;0,L27&gt;0,L29&gt;0)),"成立",IF(OR(AND(L31&gt;0,L32&gt;0,L27&gt;0),AND(L31&gt;0,L32&gt;0,L30&gt;0)),"30分残業","不成立"))</f>
        <v/>
      </c>
      <c r="M35" s="277">
        <f>IF(OR(AND(M31&gt;0,M32&gt;0,M28&gt;0,M29&gt;0),AND(M31&gt;0,M32&gt;0,M29&gt;0,M30&gt;0),AND(M31&gt;0,M32&gt;0,M27&gt;0,M29&gt;0)),"成立",IF(OR(AND(M31&gt;0,M32&gt;0,M27&gt;0),AND(M31&gt;0,M32&gt;0,M30&gt;0)),"30分残業","不成立"))</f>
        <v/>
      </c>
      <c r="N35" s="277">
        <f>IF(OR(AND(N31&gt;0,N32&gt;0,N28&gt;0,N29&gt;0),AND(N31&gt;0,N32&gt;0,N29&gt;0,N30&gt;0),AND(N31&gt;0,N32&gt;0,N27&gt;0,N29&gt;0)),"成立",IF(OR(AND(N31&gt;0,N32&gt;0,N27&gt;0),AND(N31&gt;0,N32&gt;0,N30&gt;0)),"30分残業","不成立"))</f>
        <v/>
      </c>
      <c r="O35" s="277">
        <f>IF(OR(AND(O31&gt;0,O32&gt;0,O28&gt;0,O29&gt;0),AND(O31&gt;0,O32&gt;0,O29&gt;0,O30&gt;0),AND(O31&gt;0,O32&gt;0,O27&gt;0,O29&gt;0)),"成立",IF(OR(AND(O31&gt;0,O32&gt;0,O27&gt;0),AND(O31&gt;0,O32&gt;0,O30&gt;0)),"30分残業","不成立"))</f>
        <v/>
      </c>
      <c r="P35" s="277">
        <f>IF(OR(AND(P31&gt;0,P32&gt;0,P28&gt;0,P29&gt;0),AND(P31&gt;0,P32&gt;0,P29&gt;0,P30&gt;0),AND(P31&gt;0,P32&gt;0,P27&gt;0,P29&gt;0)),"成立",IF(OR(AND(P31&gt;0,P32&gt;0,P27&gt;0),AND(P31&gt;0,P32&gt;0,P30&gt;0)),"30分残業","不成立"))</f>
        <v/>
      </c>
      <c r="Q35" s="277">
        <f>IF(OR(AND(Q31&gt;0,Q32&gt;0,Q28&gt;0,Q29&gt;0),AND(Q31&gt;0,Q32&gt;0,Q29&gt;0,Q30&gt;0),AND(Q31&gt;0,Q32&gt;0,Q27&gt;0,Q29&gt;0)),"成立",IF(OR(AND(Q31&gt;0,Q32&gt;0,Q27&gt;0),AND(Q31&gt;0,Q32&gt;0,Q30&gt;0)),"30分残業","不成立"))</f>
        <v/>
      </c>
      <c r="R35" s="277">
        <f>IF(OR(AND(R31&gt;0,R32&gt;0,R28&gt;0,R29&gt;0),AND(R31&gt;0,R32&gt;0,R29&gt;0,R30&gt;0),AND(R31&gt;0,R32&gt;0,R27&gt;0,R29&gt;0)),"成立",IF(OR(AND(R31&gt;0,R32&gt;0,R27&gt;0),AND(R31&gt;0,R32&gt;0,R30&gt;0)),"30分残業","不成立"))</f>
        <v/>
      </c>
      <c r="S35" s="277">
        <f>IF(OR(AND(S31&gt;0,S32&gt;0,S28&gt;0,S29&gt;0),AND(S31&gt;0,S32&gt;0,S29&gt;0,S30&gt;0),AND(S31&gt;0,S32&gt;0,S27&gt;0,S29&gt;0)),"成立",IF(OR(AND(S31&gt;0,S32&gt;0,S27&gt;0),AND(S31&gt;0,S32&gt;0,S30&gt;0)),"30分残業","不成立"))</f>
        <v/>
      </c>
      <c r="T35" s="277">
        <f>IF(OR(AND(T31&gt;0,T32&gt;0,T28&gt;0,T29&gt;0),AND(T31&gt;0,T32&gt;0,T29&gt;0,T30&gt;0),AND(T31&gt;0,T32&gt;0,T27&gt;0,T29&gt;0)),"成立",IF(OR(AND(T31&gt;0,T32&gt;0,T27&gt;0),AND(T31&gt;0,T32&gt;0,T30&gt;0)),"30分残業","不成立"))</f>
        <v/>
      </c>
      <c r="U35" s="277">
        <f>IF(OR(AND(U31&gt;0,U32&gt;0,U28&gt;0,U29&gt;0),AND(U31&gt;0,U32&gt;0,U29&gt;0,U30&gt;0),AND(U31&gt;0,U32&gt;0,U27&gt;0,U29&gt;0)),"成立",IF(OR(AND(U31&gt;0,U32&gt;0,U27&gt;0),AND(U31&gt;0,U32&gt;0,U30&gt;0)),"30分残業","不成立"))</f>
        <v/>
      </c>
      <c r="V35" s="277">
        <f>IF(OR(AND(V31&gt;0,V32&gt;0,V28&gt;0,V29&gt;0),AND(V31&gt;0,V32&gt;0,V29&gt;0,V30&gt;0),AND(V31&gt;0,V32&gt;0,V27&gt;0,V29&gt;0)),"成立",IF(OR(AND(V31&gt;0,V32&gt;0,V27&gt;0),AND(V31&gt;0,V32&gt;0,V30&gt;0)),"30分残業","不成立"))</f>
        <v/>
      </c>
      <c r="W35" s="277">
        <f>IF(OR(AND(W31&gt;0,W32&gt;0,W28&gt;0,W29&gt;0),AND(W31&gt;0,W32&gt;0,W29&gt;0,W30&gt;0),AND(W31&gt;0,W32&gt;0,W27&gt;0,W29&gt;0)),"成立",IF(OR(AND(W31&gt;0,W32&gt;0,W27&gt;0),AND(W31&gt;0,W32&gt;0,W30&gt;0)),"30分残業","不成立"))</f>
        <v/>
      </c>
      <c r="X35" s="277">
        <f>IF(OR(AND(X31&gt;0,X32&gt;0,X28&gt;0,X29&gt;0),AND(X31&gt;0,X32&gt;0,X29&gt;0,X30&gt;0),AND(X31&gt;0,X32&gt;0,X27&gt;0,X29&gt;0)),"成立",IF(OR(AND(X31&gt;0,X32&gt;0,X27&gt;0),AND(X31&gt;0,X32&gt;0,X30&gt;0)),"30分残業","不成立"))</f>
        <v/>
      </c>
      <c r="Y35" s="277">
        <f>IF(OR(AND(Y31&gt;0,Y32&gt;0,Y28&gt;0,Y29&gt;0),AND(Y31&gt;0,Y32&gt;0,Y29&gt;0,Y30&gt;0),AND(Y31&gt;0,Y32&gt;0,Y27&gt;0,Y29&gt;0)),"成立",IF(OR(AND(Y31&gt;0,Y32&gt;0,Y27&gt;0),AND(Y31&gt;0,Y32&gt;0,Y30&gt;0)),"30分残業","不成立"))</f>
        <v/>
      </c>
      <c r="Z35" s="277">
        <f>IF(OR(AND(Z31&gt;0,Z32&gt;0,Z28&gt;0,Z29&gt;0),AND(Z31&gt;0,Z32&gt;0,Z29&gt;0,Z30&gt;0),AND(Z31&gt;0,Z32&gt;0,Z27&gt;0,Z29&gt;0)),"成立",IF(OR(AND(Z31&gt;0,Z32&gt;0,Z27&gt;0),AND(Z31&gt;0,Z32&gt;0,Z30&gt;0)),"30分残業","不成立"))</f>
        <v/>
      </c>
      <c r="AA35" s="277">
        <f>IF(OR(AND(AA31&gt;0,AA32&gt;0,AA28&gt;0,AA29&gt;0),AND(AA31&gt;0,AA32&gt;0,AA29&gt;0,AA30&gt;0),AND(AA31&gt;0,AA32&gt;0,AA27&gt;0,AA29&gt;0)),"成立",IF(OR(AND(AA31&gt;0,AA32&gt;0,AA27&gt;0),AND(AA31&gt;0,AA32&gt;0,AA30&gt;0)),"30分残業","不成立"))</f>
        <v/>
      </c>
      <c r="AB35" s="277">
        <f>IF(OR(AND(AB31&gt;0,AB32&gt;0,AB28&gt;0,AB29&gt;0),AND(AB31&gt;0,AB32&gt;0,AB29&gt;0,AB30&gt;0),AND(AB31&gt;0,AB32&gt;0,AB27&gt;0,AB29&gt;0)),"成立",IF(OR(AND(AB31&gt;0,AB32&gt;0,AB27&gt;0),AND(AB31&gt;0,AB32&gt;0,AB30&gt;0)),"30分残業","不成立"))</f>
        <v/>
      </c>
      <c r="AC35" s="277">
        <f>IF(OR(AND(AC31&gt;0,AC32&gt;0,AC28&gt;0,AC29&gt;0),AND(AC31&gt;0,AC32&gt;0,AC29&gt;0,AC30&gt;0),AND(AC31&gt;0,AC32&gt;0,AC27&gt;0,AC29&gt;0)),"成立",IF(OR(AND(AC31&gt;0,AC32&gt;0,AC27&gt;0),AND(AC31&gt;0,AC32&gt;0,AC30&gt;0)),"30分残業","不成立"))</f>
        <v/>
      </c>
      <c r="AD35" s="277">
        <f>IF(OR(AND(AD31&gt;0,AD32&gt;0,AD28&gt;0,AD29&gt;0),AND(AD31&gt;0,AD32&gt;0,AD29&gt;0,AD30&gt;0),AND(AD31&gt;0,AD32&gt;0,AD27&gt;0,AD29&gt;0)),"成立",IF(OR(AND(AD31&gt;0,AD32&gt;0,AD27&gt;0),AND(AD31&gt;0,AD32&gt;0,AD30&gt;0)),"30分残業","不成立"))</f>
        <v/>
      </c>
      <c r="AE35" s="277">
        <f>IF(OR(AND(AE31&gt;0,AE32&gt;0,AE28&gt;0,AE29&gt;0),AND(AE31&gt;0,AE32&gt;0,AE29&gt;0,AE30&gt;0),AND(AE31&gt;0,AE32&gt;0,AE27&gt;0,AE29&gt;0)),"成立",IF(OR(AND(AE31&gt;0,AE32&gt;0,AE27&gt;0),AND(AE31&gt;0,AE32&gt;0,AE30&gt;0)),"30分残業","不成立"))</f>
        <v/>
      </c>
      <c r="AF35" s="277">
        <f>IF(OR(AND(AF31&gt;0,AF32&gt;0,AF28&gt;0,AF29&gt;0),AND(AF31&gt;0,AF32&gt;0,AF29&gt;0,AF30&gt;0),AND(AF31&gt;0,AF32&gt;0,AF27&gt;0,AF29&gt;0)),"成立",IF(OR(AND(AF31&gt;0,AF32&gt;0,AF27&gt;0),AND(AF31&gt;0,AF32&gt;0,AF30&gt;0)),"30分残業","不成立"))</f>
        <v/>
      </c>
      <c r="AG35" s="277">
        <f>IF(OR(AND(AG31&gt;0,AG32&gt;0,AG28&gt;0,AG29&gt;0),AND(AG31&gt;0,AG32&gt;0,AG29&gt;0,AG30&gt;0),AND(AG31&gt;0,AG32&gt;0,AG27&gt;0,AG29&gt;0)),"成立",IF(OR(AND(AG31&gt;0,AG32&gt;0,AG27&gt;0),AND(AG31&gt;0,AG32&gt;0,AG30&gt;0)),"30分残業","不成立"))</f>
        <v/>
      </c>
      <c r="AH35" s="277">
        <f>IF(OR(AND(AH31&gt;0,AH32&gt;0,AH28&gt;0,AH29&gt;0),AND(AH31&gt;0,AH32&gt;0,AH29&gt;0,AH30&gt;0),AND(AH31&gt;0,AH32&gt;0,AH27&gt;0,AH29&gt;0)),"成立",IF(OR(AND(AH31&gt;0,AH32&gt;0,AH27&gt;0),AND(AH31&gt;0,AH32&gt;0,AH30&gt;0)),"30分残業","不成立"))</f>
        <v/>
      </c>
      <c r="AI35" s="277">
        <f>IF(OR(AND(AI31&gt;0,AI32&gt;0,AI28&gt;0,AI29&gt;0),AND(AI31&gt;0,AI32&gt;0,AI29&gt;0,AI30&gt;0),AND(AI31&gt;0,AI32&gt;0,AI27&gt;0,AI29&gt;0)),"成立",IF(OR(AND(AI31&gt;0,AI32&gt;0,AI27&gt;0),AND(AI31&gt;0,AI32&gt;0,AI30&gt;0)),"30分残業","不成立"))</f>
        <v/>
      </c>
      <c r="AJ35" s="277">
        <f>IF(OR(AND(AJ31&gt;0,AJ32&gt;0,AJ28&gt;0,AJ29&gt;0),AND(AJ31&gt;0,AJ32&gt;0,AJ29&gt;0,AJ30&gt;0),AND(AJ31&gt;0,AJ32&gt;0,AJ27&gt;0,AJ29&gt;0)),"成立",IF(OR(AND(AJ31&gt;0,AJ32&gt;0,AJ27&gt;0),AND(AJ31&gt;0,AJ32&gt;0,AJ30&gt;0)),"30分残業","不成立"))</f>
        <v/>
      </c>
      <c r="AK35" s="277">
        <f>IF(OR(AND(AK31&gt;0,AK32&gt;0,AK28&gt;0,AK29&gt;0),AND(AK31&gt;0,AK32&gt;0,AK29&gt;0,AK30&gt;0)*AND(AK31&gt;0,AK32&gt;0,AK27&gt;0)),"成立",IF(OR(AND(AK31&gt;0,AK32&gt;0,AK27&gt;0,AK29&gt;0),AND(AK31&gt;0,AK32&gt;0,AK30&gt;0)),"30分残業","不成立"))</f>
        <v/>
      </c>
      <c r="AM35" s="245" t="n"/>
      <c r="AN35" s="246" t="n"/>
      <c r="AO35" s="246" t="n"/>
      <c r="AP35" s="245" t="n"/>
      <c r="AQ35" s="245" t="n"/>
      <c r="AR35" s="245" t="n"/>
      <c r="AS35" s="246" t="n"/>
      <c r="AT35" s="245" t="n"/>
      <c r="AU35" s="245" t="n"/>
      <c r="AV35" s="245" t="n"/>
      <c r="AW35" s="245" t="n"/>
      <c r="AX35" s="245" t="n"/>
      <c r="AY35" s="245" t="n"/>
      <c r="AZ35" s="245" t="n"/>
    </row>
    <row r="36" ht="30" customHeight="1" s="447">
      <c r="B36" s="177" t="n"/>
      <c r="C36" s="177" t="n"/>
      <c r="D36" s="177" t="n"/>
      <c r="E36" s="177" t="n"/>
      <c r="F36" s="177" t="n"/>
      <c r="G36" s="242" t="n"/>
      <c r="H36" s="243" t="n"/>
      <c r="I36" s="242" t="n"/>
      <c r="J36" s="242" t="n"/>
      <c r="K36" s="242" t="n"/>
      <c r="L36" s="242" t="n"/>
      <c r="M36" s="177" t="n"/>
      <c r="N36" s="177" t="n"/>
      <c r="O36" s="177" t="n"/>
      <c r="P36" s="177" t="n"/>
      <c r="Q36" s="177" t="n"/>
      <c r="R36" s="177" t="n"/>
      <c r="S36" s="177" t="n"/>
      <c r="T36" s="177" t="n"/>
      <c r="U36" s="177" t="n"/>
      <c r="V36" s="177" t="n"/>
      <c r="W36" s="177" t="n"/>
      <c r="X36" s="177" t="n"/>
      <c r="Y36" s="177" t="n"/>
      <c r="Z36" s="177" t="n"/>
      <c r="AA36" s="177" t="n"/>
      <c r="AB36" s="177" t="n"/>
      <c r="AC36" s="177" t="n"/>
      <c r="AD36" s="177" t="n"/>
      <c r="AE36" s="177" t="n"/>
      <c r="AF36" s="177" t="n"/>
      <c r="AG36" s="177" t="n"/>
      <c r="AH36" s="177" t="n"/>
      <c r="AI36" s="177" t="n"/>
      <c r="AJ36" s="177" t="n"/>
      <c r="AK36" s="177" t="n"/>
      <c r="AN36" s="246" t="n"/>
      <c r="AO36" s="246" t="n"/>
      <c r="AS36" s="246" t="n"/>
    </row>
    <row r="37" ht="30" customHeight="1" s="447" thickBot="1">
      <c r="AN37" s="246" t="n"/>
      <c r="AO37" s="246" t="n"/>
      <c r="AS37" s="246" t="n"/>
    </row>
    <row r="38" ht="30" customHeight="1" s="447">
      <c r="B38" s="375" t="inlineStr">
        <is>
          <t>介護関連職員出勤数</t>
        </is>
      </c>
      <c r="C38" s="251" t="inlineStr">
        <is>
          <t>A(9:30-17:30)</t>
        </is>
      </c>
      <c r="D38" s="252" t="n"/>
      <c r="E38" s="252" t="n"/>
      <c r="F38" s="252" t="n"/>
      <c r="G38" s="246">
        <f>COUNTIF(G$6:G$18,"Ａ")</f>
        <v/>
      </c>
      <c r="H38" s="246">
        <f>COUNTIF(H$6:H$18,"Ａ")</f>
        <v/>
      </c>
      <c r="I38" s="246">
        <f>COUNTIF(I$6:I$18,"Ａ")</f>
        <v/>
      </c>
      <c r="J38" s="246">
        <f>COUNTIF(J$6:J$18,"Ａ")</f>
        <v/>
      </c>
      <c r="K38" s="246">
        <f>COUNTIF(K$6:K$18,"Ａ")</f>
        <v/>
      </c>
      <c r="L38" s="246">
        <f>COUNTIF(L$6:L$18,"Ａ")</f>
        <v/>
      </c>
      <c r="M38" s="246">
        <f>COUNTIF(M$6:M$18,"Ａ")</f>
        <v/>
      </c>
      <c r="N38" s="246">
        <f>COUNTIF(N$6:N$18,"Ａ")</f>
        <v/>
      </c>
      <c r="O38" s="246">
        <f>COUNTIF(O$6:O$18,"Ａ")</f>
        <v/>
      </c>
      <c r="P38" s="246">
        <f>COUNTIF(P$6:P$18,"Ａ")</f>
        <v/>
      </c>
      <c r="Q38" s="246">
        <f>COUNTIF(Q$6:Q$18,"Ａ")</f>
        <v/>
      </c>
      <c r="R38" s="246">
        <f>COUNTIF(R$6:R$18,"Ａ")</f>
        <v/>
      </c>
      <c r="S38" s="246">
        <f>COUNTIF(S$6:S$18,"Ａ")</f>
        <v/>
      </c>
      <c r="T38" s="246">
        <f>COUNTIF(T$6:T$18,"Ａ")</f>
        <v/>
      </c>
      <c r="U38" s="246">
        <f>COUNTIF(U$6:U$18,"Ａ")</f>
        <v/>
      </c>
      <c r="V38" s="246">
        <f>COUNTIF(V$6:V$18,"Ａ")</f>
        <v/>
      </c>
      <c r="W38" s="246">
        <f>COUNTIF(W$6:W$18,"Ａ")</f>
        <v/>
      </c>
      <c r="X38" s="246">
        <f>COUNTIF(X$6:X$18,"Ａ")</f>
        <v/>
      </c>
      <c r="Y38" s="246">
        <f>COUNTIF(Y$6:Y$18,"Ａ")</f>
        <v/>
      </c>
      <c r="Z38" s="246">
        <f>COUNTIF(Z$6:Z$18,"Ａ")</f>
        <v/>
      </c>
      <c r="AA38" s="246">
        <f>COUNTIF(AA$6:AA$18,"Ａ")</f>
        <v/>
      </c>
      <c r="AB38" s="246">
        <f>COUNTIF(AB$6:AB$18,"Ａ")</f>
        <v/>
      </c>
      <c r="AC38" s="246">
        <f>COUNTIF(AC$6:AC$18,"Ａ")</f>
        <v/>
      </c>
      <c r="AD38" s="246">
        <f>COUNTIF(AD$6:AD$18,"Ａ")</f>
        <v/>
      </c>
      <c r="AE38" s="246">
        <f>COUNTIF(AE$6:AE$18,"Ａ")</f>
        <v/>
      </c>
      <c r="AF38" s="246">
        <f>COUNTIF(AF$6:AF$18,"Ａ")</f>
        <v/>
      </c>
      <c r="AG38" s="246">
        <f>COUNTIF(AG$6:AG$18,"Ａ")</f>
        <v/>
      </c>
      <c r="AH38" s="246">
        <f>COUNTIF(AH$6:AH$18,"Ａ")</f>
        <v/>
      </c>
      <c r="AI38" s="246">
        <f>COUNTIF(AI$6:AI$18,"Ａ")</f>
        <v/>
      </c>
      <c r="AJ38" s="246">
        <f>COUNTIF(AJ$6:AJ$18,"Ａ")</f>
        <v/>
      </c>
      <c r="AK38" s="246">
        <f>COUNTIF(AK$6:AK$18,"Ａ")</f>
        <v/>
      </c>
      <c r="AN38" s="246" t="n"/>
      <c r="AO38" s="246" t="n"/>
      <c r="AS38" s="246" t="n"/>
    </row>
    <row r="39" ht="30" customHeight="1" s="447">
      <c r="B39" s="460" t="n"/>
      <c r="C39" s="253" t="inlineStr">
        <is>
          <t>B(7:00-16:00)</t>
        </is>
      </c>
      <c r="D39" s="252" t="n"/>
      <c r="E39" s="252" t="n"/>
      <c r="F39" s="252" t="n"/>
      <c r="G39" s="246">
        <f>COUNTIF(G$6:G$18,"Ｂ")</f>
        <v/>
      </c>
      <c r="H39" s="246">
        <f>COUNTIF(H$6:H$18,"Ｂ")</f>
        <v/>
      </c>
      <c r="I39" s="246">
        <f>COUNTIF(I$6:I$18,"Ｂ")</f>
        <v/>
      </c>
      <c r="J39" s="246">
        <f>COUNTIF(J$6:J$18,"Ｂ")</f>
        <v/>
      </c>
      <c r="K39" s="246">
        <f>COUNTIF(K$6:K$18,"Ｂ")</f>
        <v/>
      </c>
      <c r="L39" s="246">
        <f>COUNTIF(L$6:L$18,"Ｂ")</f>
        <v/>
      </c>
      <c r="M39" s="246">
        <f>COUNTIF(M$6:M$18,"Ｂ")</f>
        <v/>
      </c>
      <c r="N39" s="246">
        <f>COUNTIF(N$6:N$18,"Ｂ")</f>
        <v/>
      </c>
      <c r="O39" s="246">
        <f>COUNTIF(O$6:O$18,"Ｂ")</f>
        <v/>
      </c>
      <c r="P39" s="246">
        <f>COUNTIF(P$6:P$18,"Ｂ")</f>
        <v/>
      </c>
      <c r="Q39" s="246">
        <f>COUNTIF(Q$6:Q$18,"Ｂ")</f>
        <v/>
      </c>
      <c r="R39" s="246">
        <f>COUNTIF(R$6:R$18,"Ｂ")</f>
        <v/>
      </c>
      <c r="S39" s="246">
        <f>COUNTIF(S$6:S$18,"Ｂ")</f>
        <v/>
      </c>
      <c r="T39" s="246">
        <f>COUNTIF(T$6:T$18,"Ｂ")</f>
        <v/>
      </c>
      <c r="U39" s="246">
        <f>COUNTIF(U$6:U$18,"Ｂ")</f>
        <v/>
      </c>
      <c r="V39" s="246">
        <f>COUNTIF(V$6:V$18,"Ｂ")</f>
        <v/>
      </c>
      <c r="W39" s="246">
        <f>COUNTIF(W$6:W$18,"Ｂ")</f>
        <v/>
      </c>
      <c r="X39" s="246">
        <f>COUNTIF(X$6:X$18,"Ｂ")</f>
        <v/>
      </c>
      <c r="Y39" s="246">
        <f>COUNTIF(Y$6:Y$18,"Ｂ")</f>
        <v/>
      </c>
      <c r="Z39" s="246">
        <f>COUNTIF(Z$6:Z$18,"Ｂ")</f>
        <v/>
      </c>
      <c r="AA39" s="246">
        <f>COUNTIF(AA$6:AA$18,"Ｂ")</f>
        <v/>
      </c>
      <c r="AB39" s="246">
        <f>COUNTIF(AB$6:AB$18,"Ｂ")</f>
        <v/>
      </c>
      <c r="AC39" s="246">
        <f>COUNTIF(AC$6:AC$18,"Ｂ")</f>
        <v/>
      </c>
      <c r="AD39" s="246">
        <f>COUNTIF(AD$6:AD$18,"Ｂ")</f>
        <v/>
      </c>
      <c r="AE39" s="246">
        <f>COUNTIF(AE$6:AE$18,"Ｂ")</f>
        <v/>
      </c>
      <c r="AF39" s="246">
        <f>COUNTIF(AF$6:AF$18,"Ｂ")</f>
        <v/>
      </c>
      <c r="AG39" s="246">
        <f>COUNTIF(AG$6:AG$18,"Ｂ")</f>
        <v/>
      </c>
      <c r="AH39" s="246">
        <f>COUNTIF(AH$6:AH$18,"Ｂ")</f>
        <v/>
      </c>
      <c r="AI39" s="246">
        <f>COUNTIF(AI$6:AI$18,"Ｂ")</f>
        <v/>
      </c>
      <c r="AJ39" s="246">
        <f>COUNTIF(AJ$6:AJ$18,"Ｂ")</f>
        <v/>
      </c>
      <c r="AK39" s="246">
        <f>COUNTIF(AK$6:AK$18,"Ｂ")</f>
        <v/>
      </c>
      <c r="AN39" s="246" t="n"/>
      <c r="AO39" s="246" t="n"/>
      <c r="AS39" s="246" t="n"/>
    </row>
    <row r="40" ht="30" customHeight="1" s="447">
      <c r="B40" s="460" t="n"/>
      <c r="C40" s="253" t="inlineStr">
        <is>
          <t>C(12:30-20:30)</t>
        </is>
      </c>
      <c r="D40" s="252" t="n"/>
      <c r="E40" s="252" t="n"/>
      <c r="F40" s="252" t="n"/>
      <c r="G40" s="246">
        <f>COUNTIF(G$6:G$18,"Ｃ")</f>
        <v/>
      </c>
      <c r="H40" s="246">
        <f>COUNTIF(H$6:H$18,"Ｃ")</f>
        <v/>
      </c>
      <c r="I40" s="246">
        <f>COUNTIF(I$6:I$18,"Ｃ")</f>
        <v/>
      </c>
      <c r="J40" s="246">
        <f>COUNTIF(J$6:J$18,"Ｃ")</f>
        <v/>
      </c>
      <c r="K40" s="246">
        <f>COUNTIF(K$6:K$18,"Ｃ")</f>
        <v/>
      </c>
      <c r="L40" s="246">
        <f>COUNTIF(L$6:L$18,"Ｃ")</f>
        <v/>
      </c>
      <c r="M40" s="246">
        <f>COUNTIF(M$6:M$18,"Ｃ")</f>
        <v/>
      </c>
      <c r="N40" s="246">
        <f>COUNTIF(N$6:N$18,"Ｃ")</f>
        <v/>
      </c>
      <c r="O40" s="246">
        <f>COUNTIF(O$6:O$18,"Ｃ")</f>
        <v/>
      </c>
      <c r="P40" s="246">
        <f>COUNTIF(P$6:P$18,"Ｃ")</f>
        <v/>
      </c>
      <c r="Q40" s="246">
        <f>COUNTIF(Q$6:Q$18,"Ｃ")</f>
        <v/>
      </c>
      <c r="R40" s="246">
        <f>COUNTIF(R$6:R$18,"Ｃ")</f>
        <v/>
      </c>
      <c r="S40" s="246">
        <f>COUNTIF(S$6:S$18,"Ｃ")</f>
        <v/>
      </c>
      <c r="T40" s="246">
        <f>COUNTIF(T$6:T$18,"Ｃ")</f>
        <v/>
      </c>
      <c r="U40" s="246">
        <f>COUNTIF(U$6:U$18,"Ｃ")</f>
        <v/>
      </c>
      <c r="V40" s="246">
        <f>COUNTIF(V$6:V$18,"Ｃ")</f>
        <v/>
      </c>
      <c r="W40" s="246">
        <f>COUNTIF(W$6:W$18,"Ｃ")</f>
        <v/>
      </c>
      <c r="X40" s="246">
        <f>COUNTIF(X$6:X$18,"Ｃ")</f>
        <v/>
      </c>
      <c r="Y40" s="246">
        <f>COUNTIF(Y$6:Y$18,"Ｃ")</f>
        <v/>
      </c>
      <c r="Z40" s="246">
        <f>COUNTIF(Z$6:Z$18,"Ｃ")</f>
        <v/>
      </c>
      <c r="AA40" s="246">
        <f>COUNTIF(AA$6:AA$18,"Ｃ")</f>
        <v/>
      </c>
      <c r="AB40" s="246">
        <f>COUNTIF(AB$6:AB$18,"Ｃ")</f>
        <v/>
      </c>
      <c r="AC40" s="246">
        <f>COUNTIF(AC$6:AC$18,"Ｃ")</f>
        <v/>
      </c>
      <c r="AD40" s="246">
        <f>COUNTIF(AD$6:AD$18,"Ｃ")</f>
        <v/>
      </c>
      <c r="AE40" s="246">
        <f>COUNTIF(AE$6:AE$18,"Ｃ")</f>
        <v/>
      </c>
      <c r="AF40" s="246">
        <f>COUNTIF(AF$6:AF$18,"Ｃ")</f>
        <v/>
      </c>
      <c r="AG40" s="246">
        <f>COUNTIF(AG$6:AG$18,"Ｃ")</f>
        <v/>
      </c>
      <c r="AH40" s="246">
        <f>COUNTIF(AH$6:AH$18,"Ｃ")</f>
        <v/>
      </c>
      <c r="AI40" s="246">
        <f>COUNTIF(AI$6:AI$18,"Ｃ")</f>
        <v/>
      </c>
      <c r="AJ40" s="246">
        <f>COUNTIF(AJ$6:AJ$18,"Ｃ")</f>
        <v/>
      </c>
      <c r="AK40" s="246">
        <f>COUNTIF(AK$6:AK$18,"Ｃ")</f>
        <v/>
      </c>
      <c r="AN40" s="246" t="n"/>
      <c r="AO40" s="246" t="n"/>
      <c r="AS40" s="246" t="n"/>
    </row>
    <row r="41" ht="30" customHeight="1" s="447">
      <c r="B41" s="460" t="n"/>
      <c r="C41" s="253" t="inlineStr">
        <is>
          <t>D(8:30-16:30)</t>
        </is>
      </c>
      <c r="D41" s="252" t="n"/>
      <c r="E41" s="252" t="n"/>
      <c r="F41" s="252" t="n"/>
      <c r="G41" s="246">
        <f>COUNTIF(G$6:G$18,"Ｄ")</f>
        <v/>
      </c>
      <c r="H41" s="246">
        <f>COUNTIF(H$6:H$18,"Ｄ")</f>
        <v/>
      </c>
      <c r="I41" s="246">
        <f>COUNTIF(I$6:I$18,"Ｄ")</f>
        <v/>
      </c>
      <c r="J41" s="246">
        <f>COUNTIF(J$6:J$18,"Ｄ")</f>
        <v/>
      </c>
      <c r="K41" s="246">
        <f>COUNTIF(K$6:K$18,"Ｄ")</f>
        <v/>
      </c>
      <c r="L41" s="246">
        <f>COUNTIF(L$6:L$18,"Ｄ")</f>
        <v/>
      </c>
      <c r="M41" s="246">
        <f>COUNTIF(M$6:M$18,"Ｄ")</f>
        <v/>
      </c>
      <c r="N41" s="246">
        <f>COUNTIF(N$6:N$18,"Ｄ")</f>
        <v/>
      </c>
      <c r="O41" s="246">
        <f>COUNTIF(O$6:O$18,"Ｄ")</f>
        <v/>
      </c>
      <c r="P41" s="246">
        <f>COUNTIF(P$6:P$18,"Ｄ")</f>
        <v/>
      </c>
      <c r="Q41" s="246">
        <f>COUNTIF(Q$6:Q$18,"Ｄ")</f>
        <v/>
      </c>
      <c r="R41" s="246">
        <f>COUNTIF(R$6:R$18,"Ｄ")</f>
        <v/>
      </c>
      <c r="S41" s="246">
        <f>COUNTIF(S$6:S$18,"Ｄ")</f>
        <v/>
      </c>
      <c r="T41" s="246">
        <f>COUNTIF(T$6:T$18,"Ｄ")</f>
        <v/>
      </c>
      <c r="U41" s="246">
        <f>COUNTIF(U$6:U$18,"Ｄ")</f>
        <v/>
      </c>
      <c r="V41" s="246">
        <f>COUNTIF(V$6:V$18,"Ｄ")</f>
        <v/>
      </c>
      <c r="W41" s="246">
        <f>COUNTIF(W$6:W$18,"Ｄ")</f>
        <v/>
      </c>
      <c r="X41" s="246">
        <f>COUNTIF(X$6:X$18,"Ｄ")</f>
        <v/>
      </c>
      <c r="Y41" s="246">
        <f>COUNTIF(Y$6:Y$18,"Ｄ")</f>
        <v/>
      </c>
      <c r="Z41" s="246">
        <f>COUNTIF(Z$6:Z$18,"Ｄ")</f>
        <v/>
      </c>
      <c r="AA41" s="246">
        <f>COUNTIF(AA$6:AA$18,"Ｄ")</f>
        <v/>
      </c>
      <c r="AB41" s="246">
        <f>COUNTIF(AB$6:AB$18,"Ｄ")</f>
        <v/>
      </c>
      <c r="AC41" s="246">
        <f>COUNTIF(AC$6:AC$18,"Ｄ")</f>
        <v/>
      </c>
      <c r="AD41" s="246">
        <f>COUNTIF(AD$6:AD$18,"Ｄ")</f>
        <v/>
      </c>
      <c r="AE41" s="246">
        <f>COUNTIF(AE$6:AE$18,"Ｄ")</f>
        <v/>
      </c>
      <c r="AF41" s="246">
        <f>COUNTIF(AF$6:AF$18,"Ｄ")</f>
        <v/>
      </c>
      <c r="AG41" s="246">
        <f>COUNTIF(AG$6:AG$18,"Ｄ")</f>
        <v/>
      </c>
      <c r="AH41" s="246">
        <f>COUNTIF(AH$6:AH$18,"Ｄ")</f>
        <v/>
      </c>
      <c r="AI41" s="246">
        <f>COUNTIF(AI$6:AI$18,"Ｄ")</f>
        <v/>
      </c>
      <c r="AJ41" s="246">
        <f>COUNTIF(AJ$6:AJ$18,"Ｄ")</f>
        <v/>
      </c>
      <c r="AK41" s="246">
        <f>COUNTIF(AK$6:AK$18,"Ｄ")</f>
        <v/>
      </c>
    </row>
    <row r="42" ht="30" customHeight="1" s="447">
      <c r="B42" s="460" t="n"/>
      <c r="C42" s="253" t="inlineStr">
        <is>
          <t>E(8:30-16:30)</t>
        </is>
      </c>
      <c r="D42" s="252" t="n"/>
      <c r="E42" s="252" t="n"/>
      <c r="F42" s="252" t="n"/>
      <c r="G42" s="246">
        <f>COUNTIF(G$6:G$18,"Ｅ")</f>
        <v/>
      </c>
      <c r="H42" s="246">
        <f>COUNTIF(H$6:H$18,"Ｅ")</f>
        <v/>
      </c>
      <c r="I42" s="246">
        <f>COUNTIF(I$6:I$18,"Ｅ")</f>
        <v/>
      </c>
      <c r="J42" s="246">
        <f>COUNTIF(J$6:J$18,"Ｅ")</f>
        <v/>
      </c>
      <c r="K42" s="246">
        <f>COUNTIF(K$6:K$18,"Ｅ")</f>
        <v/>
      </c>
      <c r="L42" s="246">
        <f>COUNTIF(L$6:L$18,"Ｅ")</f>
        <v/>
      </c>
      <c r="M42" s="246">
        <f>COUNTIF(M$6:M$18,"Ｅ")</f>
        <v/>
      </c>
      <c r="N42" s="246">
        <f>COUNTIF(N$6:N$18,"Ｅ")</f>
        <v/>
      </c>
      <c r="O42" s="246">
        <f>COUNTIF(O$6:O$18,"Ｅ")</f>
        <v/>
      </c>
      <c r="P42" s="246">
        <f>COUNTIF(P$6:P$18,"Ｅ")</f>
        <v/>
      </c>
      <c r="Q42" s="246">
        <f>COUNTIF(Q$6:Q$18,"Ｅ")</f>
        <v/>
      </c>
      <c r="R42" s="246">
        <f>COUNTIF(R$6:R$18,"Ｅ")</f>
        <v/>
      </c>
      <c r="S42" s="246">
        <f>COUNTIF(S$6:S$18,"Ｅ")</f>
        <v/>
      </c>
      <c r="T42" s="246">
        <f>COUNTIF(T$6:T$18,"Ｅ")</f>
        <v/>
      </c>
      <c r="U42" s="246">
        <f>COUNTIF(U$6:U$18,"Ｅ")</f>
        <v/>
      </c>
      <c r="V42" s="246">
        <f>COUNTIF(V$6:V$18,"Ｅ")</f>
        <v/>
      </c>
      <c r="W42" s="246">
        <f>COUNTIF(W$6:W$18,"Ｅ")</f>
        <v/>
      </c>
      <c r="X42" s="246">
        <f>COUNTIF(X$6:X$18,"Ｅ")</f>
        <v/>
      </c>
      <c r="Y42" s="246">
        <f>COUNTIF(Y$6:Y$18,"Ｅ")</f>
        <v/>
      </c>
      <c r="Z42" s="246">
        <f>COUNTIF(Z$6:Z$18,"Ｅ")</f>
        <v/>
      </c>
      <c r="AA42" s="246">
        <f>COUNTIF(AA$6:AA$18,"Ｅ")</f>
        <v/>
      </c>
      <c r="AB42" s="246">
        <f>COUNTIF(AB$6:AB$18,"Ｅ")</f>
        <v/>
      </c>
      <c r="AC42" s="246">
        <f>COUNTIF(AC$6:AC$18,"Ｅ")</f>
        <v/>
      </c>
      <c r="AD42" s="246">
        <f>COUNTIF(AD$6:AD$18,"Ｅ")</f>
        <v/>
      </c>
      <c r="AE42" s="246">
        <f>COUNTIF(AE$6:AE$18,"Ｅ")</f>
        <v/>
      </c>
      <c r="AF42" s="246">
        <f>COUNTIF(AF$6:AF$18,"Ｅ")</f>
        <v/>
      </c>
      <c r="AG42" s="246">
        <f>COUNTIF(AG$6:AG$18,"Ｅ")</f>
        <v/>
      </c>
      <c r="AH42" s="246">
        <f>COUNTIF(AH$6:AH$18,"Ｅ")</f>
        <v/>
      </c>
      <c r="AI42" s="246">
        <f>COUNTIF(AI$6:AI$18,"Ｅ")</f>
        <v/>
      </c>
      <c r="AJ42" s="246">
        <f>COUNTIF(AJ$6:AJ$18,"Ｅ")</f>
        <v/>
      </c>
      <c r="AK42" s="246">
        <f>COUNTIF(AK$6:AK$18,"Ｅ")</f>
        <v/>
      </c>
    </row>
    <row r="43" ht="30" customHeight="1" s="447">
      <c r="B43" s="460" t="n"/>
      <c r="C43" s="253" t="inlineStr">
        <is>
          <t>夜勤(17:00-1:00)</t>
        </is>
      </c>
      <c r="D43" s="252" t="n"/>
      <c r="E43" s="252" t="n"/>
      <c r="F43" s="252" t="n"/>
      <c r="G43" s="246">
        <f>COUNTIF(G$6:G$18,"夜")</f>
        <v/>
      </c>
      <c r="H43" s="246">
        <f>COUNTIF(H$6:H$18,"夜")</f>
        <v/>
      </c>
      <c r="I43" s="246">
        <f>COUNTIF(I$6:I$18,"夜")</f>
        <v/>
      </c>
      <c r="J43" s="246">
        <f>COUNTIF(J$6:J$18,"夜")</f>
        <v/>
      </c>
      <c r="K43" s="246">
        <f>COUNTIF(K$6:K$18,"夜")</f>
        <v/>
      </c>
      <c r="L43" s="246">
        <f>COUNTIF(L$6:L$18,"夜")</f>
        <v/>
      </c>
      <c r="M43" s="246">
        <f>COUNTIF(M$6:M$18,"夜")</f>
        <v/>
      </c>
      <c r="N43" s="246">
        <f>COUNTIF(N$6:N$18,"夜")</f>
        <v/>
      </c>
      <c r="O43" s="246">
        <f>COUNTIF(O$6:O$18,"夜")</f>
        <v/>
      </c>
      <c r="P43" s="246">
        <f>COUNTIF(P$6:P$18,"夜")</f>
        <v/>
      </c>
      <c r="Q43" s="246">
        <f>COUNTIF(Q$6:Q$18,"夜")</f>
        <v/>
      </c>
      <c r="R43" s="246">
        <f>COUNTIF(R$6:R$18,"夜")</f>
        <v/>
      </c>
      <c r="S43" s="246">
        <f>COUNTIF(S$6:S$18,"夜")</f>
        <v/>
      </c>
      <c r="T43" s="246">
        <f>COUNTIF(T$6:T$18,"夜")</f>
        <v/>
      </c>
      <c r="U43" s="246">
        <f>COUNTIF(U$6:U$18,"夜")</f>
        <v/>
      </c>
      <c r="V43" s="246">
        <f>COUNTIF(V$6:V$18,"夜")</f>
        <v/>
      </c>
      <c r="W43" s="246">
        <f>COUNTIF(W$6:W$18,"夜")</f>
        <v/>
      </c>
      <c r="X43" s="246">
        <f>COUNTIF(X$6:X$18,"夜")</f>
        <v/>
      </c>
      <c r="Y43" s="246">
        <f>COUNTIF(Y$6:Y$18,"夜")</f>
        <v/>
      </c>
      <c r="Z43" s="246">
        <f>COUNTIF(Z$6:Z$18,"夜")</f>
        <v/>
      </c>
      <c r="AA43" s="246">
        <f>COUNTIF(AA$6:AA$18,"夜")</f>
        <v/>
      </c>
      <c r="AB43" s="246">
        <f>COUNTIF(AB$6:AB$18,"夜")</f>
        <v/>
      </c>
      <c r="AC43" s="246">
        <f>COUNTIF(AC$6:AC$18,"夜")</f>
        <v/>
      </c>
      <c r="AD43" s="246">
        <f>COUNTIF(AD$6:AD$18,"夜")</f>
        <v/>
      </c>
      <c r="AE43" s="246">
        <f>COUNTIF(AE$6:AE$18,"夜")</f>
        <v/>
      </c>
      <c r="AF43" s="246">
        <f>COUNTIF(AF$6:AF$18,"夜")</f>
        <v/>
      </c>
      <c r="AG43" s="246">
        <f>COUNTIF(AG$6:AG$18,"夜")</f>
        <v/>
      </c>
      <c r="AH43" s="246">
        <f>COUNTIF(AH$6:AH$18,"夜")</f>
        <v/>
      </c>
      <c r="AI43" s="246">
        <f>COUNTIF(AI$6:AI$18,"夜")</f>
        <v/>
      </c>
      <c r="AJ43" s="246">
        <f>COUNTIF(AJ$6:AJ$18,"夜")</f>
        <v/>
      </c>
      <c r="AK43" s="246">
        <f>COUNTIF(AK$6:AK$18,"夜")</f>
        <v/>
      </c>
    </row>
    <row r="44" ht="30" customHeight="1" s="447">
      <c r="B44" s="460" t="n"/>
      <c r="C44" s="253" t="inlineStr">
        <is>
          <t>明け(1:00-9:00)</t>
        </is>
      </c>
      <c r="D44" s="252" t="n"/>
      <c r="E44" s="252" t="n"/>
      <c r="F44" s="252" t="n"/>
      <c r="G44" s="246">
        <f>COUNTIF(G$6:G$18,"明")</f>
        <v/>
      </c>
      <c r="H44" s="246">
        <f>COUNTIF(H$6:H$18,"明")</f>
        <v/>
      </c>
      <c r="I44" s="246">
        <f>COUNTIF(I$6:I$18,"明")</f>
        <v/>
      </c>
      <c r="J44" s="246">
        <f>COUNTIF(J$6:J$18,"明")</f>
        <v/>
      </c>
      <c r="K44" s="246">
        <f>COUNTIF(K$6:K$18,"明")</f>
        <v/>
      </c>
      <c r="L44" s="246">
        <f>COUNTIF(L$6:L$18,"明")</f>
        <v/>
      </c>
      <c r="M44" s="246">
        <f>COUNTIF(M$6:M$18,"明")</f>
        <v/>
      </c>
      <c r="N44" s="246">
        <f>COUNTIF(N$6:N$18,"明")</f>
        <v/>
      </c>
      <c r="O44" s="246">
        <f>COUNTIF(O$6:O$18,"明")</f>
        <v/>
      </c>
      <c r="P44" s="246">
        <f>COUNTIF(P$6:P$18,"明")</f>
        <v/>
      </c>
      <c r="Q44" s="246">
        <f>COUNTIF(Q$6:Q$18,"明")</f>
        <v/>
      </c>
      <c r="R44" s="246">
        <f>COUNTIF(R$6:R$18,"明")</f>
        <v/>
      </c>
      <c r="S44" s="246">
        <f>COUNTIF(S$6:S$18,"明")</f>
        <v/>
      </c>
      <c r="T44" s="246">
        <f>COUNTIF(T$6:T$18,"明")</f>
        <v/>
      </c>
      <c r="U44" s="246">
        <f>COUNTIF(U$6:U$18,"明")</f>
        <v/>
      </c>
      <c r="V44" s="246">
        <f>COUNTIF(V$6:V$18,"明")</f>
        <v/>
      </c>
      <c r="W44" s="246">
        <f>COUNTIF(W$6:W$18,"明")</f>
        <v/>
      </c>
      <c r="X44" s="246">
        <f>COUNTIF(X$6:X$18,"明")</f>
        <v/>
      </c>
      <c r="Y44" s="246">
        <f>COUNTIF(Y$6:Y$18,"明")</f>
        <v/>
      </c>
      <c r="Z44" s="246">
        <f>COUNTIF(Z$6:Z$18,"明")</f>
        <v/>
      </c>
      <c r="AA44" s="246">
        <f>COUNTIF(AA$6:AA$18,"明")</f>
        <v/>
      </c>
      <c r="AB44" s="246">
        <f>COUNTIF(AB$6:AB$18,"明")</f>
        <v/>
      </c>
      <c r="AC44" s="246">
        <f>COUNTIF(AC$6:AC$18,"明")</f>
        <v/>
      </c>
      <c r="AD44" s="246">
        <f>COUNTIF(AD$6:AD$18,"明")</f>
        <v/>
      </c>
      <c r="AE44" s="246">
        <f>COUNTIF(AE$6:AE$18,"明")</f>
        <v/>
      </c>
      <c r="AF44" s="246">
        <f>COUNTIF(AF$6:AF$18,"明")</f>
        <v/>
      </c>
      <c r="AG44" s="246">
        <f>COUNTIF(AG$6:AG$18,"明")</f>
        <v/>
      </c>
      <c r="AH44" s="246">
        <f>COUNTIF(AH$6:AH$18,"明")</f>
        <v/>
      </c>
      <c r="AI44" s="246">
        <f>COUNTIF(AI$6:AI$18,"明")</f>
        <v/>
      </c>
      <c r="AJ44" s="246">
        <f>COUNTIF(AJ$6:AJ$18,"明")</f>
        <v/>
      </c>
      <c r="AK44" s="246">
        <f>COUNTIF(AK$6:AK$18,"明")</f>
        <v/>
      </c>
    </row>
    <row r="45" ht="30" customHeight="1" s="447">
      <c r="B45" s="460" t="n"/>
      <c r="C45" s="255" t="inlineStr">
        <is>
          <t>出勤合計</t>
        </is>
      </c>
      <c r="D45" s="252" t="n"/>
      <c r="E45" s="252" t="n"/>
      <c r="F45" s="252" t="n"/>
      <c r="G45" s="246">
        <f>SUM(G38:G44)</f>
        <v/>
      </c>
      <c r="H45" s="246">
        <f>SUM(H38:H44)</f>
        <v/>
      </c>
      <c r="I45" s="246">
        <f>SUM(I38:I44)</f>
        <v/>
      </c>
      <c r="J45" s="246">
        <f>SUM(J38:J44)</f>
        <v/>
      </c>
      <c r="K45" s="246">
        <f>SUM(K38:K44)</f>
        <v/>
      </c>
      <c r="L45" s="246">
        <f>SUM(L38:L44)</f>
        <v/>
      </c>
      <c r="M45" s="246">
        <f>SUM(M38:M44)</f>
        <v/>
      </c>
      <c r="N45" s="246">
        <f>SUM(N38:N44)</f>
        <v/>
      </c>
      <c r="O45" s="246">
        <f>SUM(O38:O44)</f>
        <v/>
      </c>
      <c r="P45" s="246">
        <f>SUM(P38:P44)</f>
        <v/>
      </c>
      <c r="Q45" s="246">
        <f>SUM(Q38:Q44)</f>
        <v/>
      </c>
      <c r="R45" s="246">
        <f>SUM(R38:R44)</f>
        <v/>
      </c>
      <c r="S45" s="246">
        <f>SUM(S38:S44)</f>
        <v/>
      </c>
      <c r="T45" s="246">
        <f>SUM(T38:T44)</f>
        <v/>
      </c>
      <c r="U45" s="246">
        <f>SUM(U38:U44)</f>
        <v/>
      </c>
      <c r="V45" s="246">
        <f>SUM(V38:V44)</f>
        <v/>
      </c>
      <c r="W45" s="246">
        <f>SUM(W38:W44)</f>
        <v/>
      </c>
      <c r="X45" s="246">
        <f>SUM(X38:X44)</f>
        <v/>
      </c>
      <c r="Y45" s="246">
        <f>SUM(Y38:Y44)</f>
        <v/>
      </c>
      <c r="Z45" s="246">
        <f>SUM(Z38:Z44)</f>
        <v/>
      </c>
      <c r="AA45" s="246">
        <f>SUM(AA38:AA44)</f>
        <v/>
      </c>
      <c r="AB45" s="246">
        <f>SUM(AB38:AB44)</f>
        <v/>
      </c>
      <c r="AC45" s="246">
        <f>SUM(AC38:AC44)</f>
        <v/>
      </c>
      <c r="AD45" s="246">
        <f>SUM(AD38:AD44)</f>
        <v/>
      </c>
      <c r="AE45" s="246">
        <f>SUM(AE38:AE44)</f>
        <v/>
      </c>
      <c r="AF45" s="246">
        <f>SUM(AF38:AF44)</f>
        <v/>
      </c>
      <c r="AG45" s="246">
        <f>SUM(AG38:AG44)</f>
        <v/>
      </c>
      <c r="AH45" s="246">
        <f>SUM(AH38:AH44)</f>
        <v/>
      </c>
      <c r="AI45" s="246">
        <f>SUM(AI38:AI44)</f>
        <v/>
      </c>
      <c r="AJ45" s="246">
        <f>SUM(AJ38:AJ44)</f>
        <v/>
      </c>
      <c r="AK45" s="246">
        <f>SUM(AK38:AK44)</f>
        <v/>
      </c>
    </row>
    <row r="46" ht="30" customHeight="1" s="447">
      <c r="B46" s="460" t="n"/>
      <c r="C46" s="255" t="inlineStr">
        <is>
          <t>休日・有給</t>
        </is>
      </c>
      <c r="D46" s="246" t="n"/>
      <c r="E46" s="246" t="n"/>
      <c r="F46" s="246" t="n"/>
      <c r="G46" s="246">
        <f>COUNTIF(G$6:G$18,"休")+COUNTIF(G$6:G$18,"希")+COUNTIF(G$6:G$18,"有")</f>
        <v/>
      </c>
      <c r="H46" s="246">
        <f>COUNTIF(H$6:H$18,"休")+COUNTIF(H$6:H$18,"希")+COUNTIF(H$6:H$18,"有")</f>
        <v/>
      </c>
      <c r="I46" s="246">
        <f>COUNTIF(I$6:I$18,"休")+COUNTIF(I$6:I$18,"希")+COUNTIF(I$6:I$18,"有")</f>
        <v/>
      </c>
      <c r="J46" s="246">
        <f>COUNTIF(J$6:J$18,"休")+COUNTIF(J$6:J$18,"希")+COUNTIF(J$6:J$18,"有")</f>
        <v/>
      </c>
      <c r="K46" s="246">
        <f>COUNTIF(K$6:K$18,"休")+COUNTIF(K$6:K$18,"希")+COUNTIF(K$6:K$18,"有")</f>
        <v/>
      </c>
      <c r="L46" s="246">
        <f>COUNTIF(L$6:L$18,"休")+COUNTIF(L$6:L$18,"希")+COUNTIF(L$6:L$18,"有")</f>
        <v/>
      </c>
      <c r="M46" s="246">
        <f>COUNTIF(M$6:M$18,"休")+COUNTIF(M$6:M$18,"希")+COUNTIF(M$6:M$18,"有")</f>
        <v/>
      </c>
      <c r="N46" s="246">
        <f>COUNTIF(N$6:N$18,"休")+COUNTIF(N$6:N$18,"希")+COUNTIF(N$6:N$18,"有")</f>
        <v/>
      </c>
      <c r="O46" s="246">
        <f>COUNTIF(O$6:O$18,"休")+COUNTIF(O$6:O$18,"希")+COUNTIF(O$6:O$18,"有")</f>
        <v/>
      </c>
      <c r="P46" s="246">
        <f>COUNTIF(P$6:P$18,"休")+COUNTIF(P$6:P$18,"希")+COUNTIF(P$6:P$18,"有")</f>
        <v/>
      </c>
      <c r="Q46" s="246">
        <f>COUNTIF(Q$6:Q$18,"休")+COUNTIF(Q$6:Q$18,"希")+COUNTIF(Q$6:Q$18,"有")</f>
        <v/>
      </c>
      <c r="R46" s="246">
        <f>COUNTIF(R$6:R$18,"休")+COUNTIF(R$6:R$18,"希")+COUNTIF(R$6:R$18,"有")</f>
        <v/>
      </c>
      <c r="S46" s="246">
        <f>COUNTIF(S$6:S$18,"休")+COUNTIF(S$6:S$18,"希")+COUNTIF(S$6:S$18,"有")</f>
        <v/>
      </c>
      <c r="T46" s="246">
        <f>COUNTIF(T$6:T$18,"休")+COUNTIF(T$6:T$18,"希")+COUNTIF(T$6:T$18,"有")</f>
        <v/>
      </c>
      <c r="U46" s="246">
        <f>COUNTIF(U$6:U$18,"休")+COUNTIF(U$6:U$18,"希")+COUNTIF(U$6:U$18,"有")</f>
        <v/>
      </c>
      <c r="V46" s="246">
        <f>COUNTIF(V$6:V$18,"休")+COUNTIF(V$6:V$18,"希")+COUNTIF(V$6:V$18,"有")</f>
        <v/>
      </c>
      <c r="W46" s="246">
        <f>COUNTIF(W$6:W$18,"休")+COUNTIF(W$6:W$18,"希")+COUNTIF(W$6:W$18,"有")</f>
        <v/>
      </c>
      <c r="X46" s="246">
        <f>COUNTIF(X$6:X$18,"休")+COUNTIF(X$6:X$18,"希")+COUNTIF(X$6:X$18,"有")</f>
        <v/>
      </c>
      <c r="Y46" s="246">
        <f>COUNTIF(Y$6:Y$18,"休")+COUNTIF(Y$6:Y$18,"希")+COUNTIF(Y$6:Y$18,"有")</f>
        <v/>
      </c>
      <c r="Z46" s="246">
        <f>COUNTIF(Z$6:Z$18,"休")+COUNTIF(Z$6:Z$18,"希")+COUNTIF(Z$6:Z$18,"有")</f>
        <v/>
      </c>
      <c r="AA46" s="246">
        <f>COUNTIF(AA$6:AA$18,"休")+COUNTIF(AA$6:AA$18,"希")+COUNTIF(AA$6:AA$18,"有")</f>
        <v/>
      </c>
      <c r="AB46" s="246">
        <f>COUNTIF(AB$6:AB$18,"休")+COUNTIF(AB$6:AB$18,"希")+COUNTIF(AB$6:AB$18,"有")</f>
        <v/>
      </c>
      <c r="AC46" s="246">
        <f>COUNTIF(AC$6:AC$18,"休")+COUNTIF(AC$6:AC$18,"希")+COUNTIF(AC$6:AC$18,"有")</f>
        <v/>
      </c>
      <c r="AD46" s="246">
        <f>COUNTIF(AD$6:AD$18,"休")+COUNTIF(AD$6:AD$18,"希")+COUNTIF(AD$6:AD$18,"有")</f>
        <v/>
      </c>
      <c r="AE46" s="246">
        <f>COUNTIF(AE$6:AE$18,"休")+COUNTIF(AE$6:AE$18,"希")+COUNTIF(AE$6:AE$18,"有")</f>
        <v/>
      </c>
      <c r="AF46" s="246">
        <f>COUNTIF(AF$6:AF$18,"休")+COUNTIF(AF$6:AF$18,"希")+COUNTIF(AF$6:AF$18,"有")</f>
        <v/>
      </c>
      <c r="AG46" s="246">
        <f>COUNTIF(AG$6:AG$18,"休")+COUNTIF(AG$6:AG$18,"希")+COUNTIF(AG$6:AG$18,"有")</f>
        <v/>
      </c>
      <c r="AH46" s="246">
        <f>COUNTIF(AH$6:AH$18,"休")+COUNTIF(AH$6:AH$18,"希")+COUNTIF(AH$6:AH$18,"有")</f>
        <v/>
      </c>
      <c r="AI46" s="246">
        <f>COUNTIF(AI$6:AI$18,"休")+COUNTIF(AI$6:AI$18,"希")+COUNTIF(AI$6:AI$18,"有")</f>
        <v/>
      </c>
      <c r="AJ46" s="246">
        <f>COUNTIF(AJ$6:AJ$18,"休")+COUNTIF(AJ$6:AJ$18,"希")+COUNTIF(AJ$6:AJ$18,"有")</f>
        <v/>
      </c>
      <c r="AK46" s="246">
        <f>COUNTIF(AK$6:AK$18,"休")+COUNTIF(AK$6:AK$18,"希")+COUNTIF(AK$6:AK$18,"有")</f>
        <v/>
      </c>
    </row>
    <row r="47" ht="30" customHeight="1" s="447" thickBot="1">
      <c r="B47" s="461" t="n"/>
      <c r="C47" s="256" t="inlineStr">
        <is>
          <t>シフト成立</t>
        </is>
      </c>
      <c r="D47" s="246" t="n"/>
      <c r="E47" s="246" t="n"/>
      <c r="F47" s="246" t="n"/>
      <c r="G47" s="249">
        <f>IF(AND(G38&gt;=1,G39&gt;=1,G40&gt;=1,G41&gt;=1,G43&gt;=1,G44&gt;=1),"成立",IF(AND(G43&gt;=1,G44&gt;=1,G39&gt;=1,G40&gt;=1,G41&gt;=1),"条件付","不成立"))</f>
        <v/>
      </c>
      <c r="H47" s="249">
        <f>IF(AND(H38&gt;=1,H39&gt;=1,H40&gt;=1,H41&gt;=1,H43&gt;=1,H44&gt;=1),"成立",IF(AND(H43&gt;=1,H44&gt;=1,H39&gt;=1,H40&gt;=1,H41&gt;=1),"条件付","不成立"))</f>
        <v/>
      </c>
      <c r="I47" s="249">
        <f>IF(AND(I38&gt;=1,I39&gt;=1,I40&gt;=1,I41&gt;=1,I43&gt;=1,I44&gt;=1),"成立",IF(AND(I43&gt;=1,I44&gt;=1,I39&gt;=1,I40&gt;=1,I41&gt;=1),"条件付","不成立"))</f>
        <v/>
      </c>
      <c r="J47" s="249">
        <f>IF(AND(J38&gt;=1,J39&gt;=1,J40&gt;=1,J41&gt;=1,J43&gt;=1,J44&gt;=1),"成立",IF(AND(J43&gt;=1,J44&gt;=1,J39&gt;=1,J40&gt;=1,J41&gt;=1),"条件付","不成立"))</f>
        <v/>
      </c>
      <c r="K47" s="249">
        <f>IF(AND(K38&gt;=1,K39&gt;=1,K40&gt;=1,K41&gt;=1,K43&gt;=1,K44&gt;=1),"成立",IF(AND(K43&gt;=1,K44&gt;=1,K39&gt;=1,K40&gt;=1,K41&gt;=1),"条件付","不成立"))</f>
        <v/>
      </c>
      <c r="L47" s="249">
        <f>IF(AND(L38&gt;=1,L39&gt;=1,L40&gt;=1,L41&gt;=1,L43&gt;=1,L44&gt;=1),"成立",IF(AND(L43&gt;=1,L44&gt;=1,L39&gt;=1,L40&gt;=1,L41&gt;=1),"条件付","不成立"))</f>
        <v/>
      </c>
      <c r="M47" s="249">
        <f>IF(AND(M38&gt;=1,M39&gt;=1,M40&gt;=1,M41&gt;=1,M43&gt;=1,M44&gt;=1),"成立",IF(AND(M43&gt;=1,M44&gt;=1,M39&gt;=1,M40&gt;=1,M41&gt;=1),"条件付","不成立"))</f>
        <v/>
      </c>
      <c r="N47" s="249">
        <f>IF(AND(N38&gt;=1,N39&gt;=1,N40&gt;=1,N41&gt;=1,N43&gt;=1,N44&gt;=1),"成立",IF(AND(N43&gt;=1,N44&gt;=1,N39&gt;=1,N40&gt;=1,N41&gt;=1),"条件付","不成立"))</f>
        <v/>
      </c>
      <c r="O47" s="249">
        <f>IF(AND(O38&gt;=1,O39&gt;=1,O40&gt;=1,O41&gt;=1,O43&gt;=1,O44&gt;=1),"成立",IF(AND(O43&gt;=1,O44&gt;=1,O39&gt;=1,O40&gt;=1,O41&gt;=1),"条件付","不成立"))</f>
        <v/>
      </c>
      <c r="P47" s="249">
        <f>IF(AND(P38&gt;=1,P39&gt;=1,P40&gt;=1,P41&gt;=1,P43&gt;=1,P44&gt;=1),"成立",IF(AND(P43&gt;=1,P44&gt;=1,P39&gt;=1,P40&gt;=1,P41&gt;=1),"条件付","不成立"))</f>
        <v/>
      </c>
      <c r="Q47" s="249">
        <f>IF(AND(Q38&gt;=1,Q39&gt;=1,Q40&gt;=1,Q41&gt;=1,Q43&gt;=1,Q44&gt;=1),"成立",IF(AND(Q43&gt;=1,Q44&gt;=1,Q39&gt;=1,Q40&gt;=1,Q41&gt;=1),"条件付","不成立"))</f>
        <v/>
      </c>
      <c r="R47" s="249">
        <f>IF(AND(R38&gt;=1,R39&gt;=1,R40&gt;=1,R41&gt;=1,R43&gt;=1,R44&gt;=1),"成立",IF(AND(R43&gt;=1,R44&gt;=1,R39&gt;=1,R40&gt;=1,R41&gt;=1),"条件付","不成立"))</f>
        <v/>
      </c>
      <c r="S47" s="249">
        <f>IF(AND(S38&gt;=1,S39&gt;=1,S40&gt;=1,S41&gt;=1,S43&gt;=1,S44&gt;=1),"成立",IF(AND(S43&gt;=1,S44&gt;=1,S39&gt;=1,S40&gt;=1,S41&gt;=1),"条件付","不成立"))</f>
        <v/>
      </c>
      <c r="T47" s="249">
        <f>IF(AND(T38&gt;=1,T39&gt;=1,T40&gt;=1,T41&gt;=1,T43&gt;=1,T44&gt;=1),"成立",IF(AND(T43&gt;=1,T44&gt;=1,T39&gt;=1,T40&gt;=1,T41&gt;=1),"条件付","不成立"))</f>
        <v/>
      </c>
      <c r="U47" s="249">
        <f>IF(AND(U38&gt;=1,U39&gt;=1,U40&gt;=1,U41&gt;=1,U43&gt;=1,U44&gt;=1),"成立",IF(AND(U43&gt;=1,U44&gt;=1,U39&gt;=1,U40&gt;=1,U41&gt;=1),"条件付","不成立"))</f>
        <v/>
      </c>
      <c r="V47" s="249">
        <f>IF(AND(V38&gt;=1,V39&gt;=1,V40&gt;=1,V41&gt;=1,V43&gt;=1,V44&gt;=1),"成立",IF(AND(V43&gt;=1,V44&gt;=1,V39&gt;=1,V40&gt;=1,V41&gt;=1),"条件付","不成立"))</f>
        <v/>
      </c>
      <c r="W47" s="249">
        <f>IF(AND(W38&gt;=1,W39&gt;=1,W40&gt;=1,W41&gt;=1,W43&gt;=1,W44&gt;=1),"成立",IF(AND(W43&gt;=1,W44&gt;=1,W39&gt;=1,W40&gt;=1,W41&gt;=1),"条件付","不成立"))</f>
        <v/>
      </c>
      <c r="X47" s="249">
        <f>IF(AND(X38&gt;=1,X39&gt;=1,X40&gt;=1,X41&gt;=1,X43&gt;=1,X44&gt;=1),"成立",IF(AND(X43&gt;=1,X44&gt;=1,X39&gt;=1,X40&gt;=1,X41&gt;=1),"条件付","不成立"))</f>
        <v/>
      </c>
      <c r="Y47" s="249">
        <f>IF(AND(Y38&gt;=1,Y39&gt;=1,Y40&gt;=1,Y41&gt;=1,Y43&gt;=1,Y44&gt;=1),"成立",IF(AND(Y43&gt;=1,Y44&gt;=1,Y39&gt;=1,Y40&gt;=1,Y41&gt;=1),"条件付","不成立"))</f>
        <v/>
      </c>
      <c r="Z47" s="249">
        <f>IF(AND(Z38&gt;=1,Z39&gt;=1,Z40&gt;=1,Z41&gt;=1,Z43&gt;=1,Z44&gt;=1),"成立",IF(AND(Z43&gt;=1,Z44&gt;=1,Z39&gt;=1,Z40&gt;=1,Z41&gt;=1),"条件付","不成立"))</f>
        <v/>
      </c>
      <c r="AA47" s="249">
        <f>IF(AND(AA38&gt;=1,AA39&gt;=1,AA40&gt;=1,AA41&gt;=1,AA43&gt;=1,AA44&gt;=1),"成立",IF(AND(AA43&gt;=1,AA44&gt;=1,AA39&gt;=1,AA40&gt;=1,AA41&gt;=1),"条件付","不成立"))</f>
        <v/>
      </c>
      <c r="AB47" s="249">
        <f>IF(AND(AB38&gt;=1,AB39&gt;=1,AB40&gt;=1,AB41&gt;=1,AB43&gt;=1,AB44&gt;=1),"成立",IF(AND(AB43&gt;=1,AB44&gt;=1,AB39&gt;=1,AB40&gt;=1,AB41&gt;=1),"条件付","不成立"))</f>
        <v/>
      </c>
      <c r="AC47" s="249">
        <f>IF(AND(AC38&gt;=1,AC39&gt;=1,AC40&gt;=1,AC41&gt;=1,AC43&gt;=1,AC44&gt;=1),"成立",IF(AND(AC43&gt;=1,AC44&gt;=1,AC39&gt;=1,AC40&gt;=1,AC41&gt;=1),"条件付","不成立"))</f>
        <v/>
      </c>
      <c r="AD47" s="249">
        <f>IF(AND(AD38&gt;=1,AD39&gt;=1,AD40&gt;=1,AD41&gt;=1,AD43&gt;=1,AD44&gt;=1),"成立",IF(AND(AD43&gt;=1,AD44&gt;=1,AD39&gt;=1,AD40&gt;=1,AD41&gt;=1),"条件付","不成立"))</f>
        <v/>
      </c>
      <c r="AE47" s="249">
        <f>IF(AND(AE38&gt;=1,AE39&gt;=1,AE40&gt;=1,AE41&gt;=1,AE43&gt;=1,AE44&gt;=1),"成立",IF(AND(AE43&gt;=1,AE44&gt;=1,AE39&gt;=1,AE40&gt;=1,AE41&gt;=1),"条件付","不成立"))</f>
        <v/>
      </c>
      <c r="AF47" s="249">
        <f>IF(AND(AF38&gt;=1,AF39&gt;=1,AF40&gt;=1,AF41&gt;=1,AF43&gt;=1,AF44&gt;=1),"成立",IF(AND(AF43&gt;=1,AF44&gt;=1,AF39&gt;=1,AF40&gt;=1,AF41&gt;=1),"条件付","不成立"))</f>
        <v/>
      </c>
      <c r="AG47" s="249">
        <f>IF(AND(AG38&gt;=1,AG39&gt;=1,AG40&gt;=1,AG41&gt;=1,AG43&gt;=1,AG44&gt;=1),"成立",IF(AND(AG43&gt;=1,AG44&gt;=1,AG39&gt;=1,AG40&gt;=1,AG41&gt;=1),"条件付","不成立"))</f>
        <v/>
      </c>
      <c r="AH47" s="249">
        <f>IF(AND(AH38&gt;=1,AH39&gt;=1,AH40&gt;=1,AH41&gt;=1,AH43&gt;=1,AH44&gt;=1),"成立",IF(AND(AH43&gt;=1,AH44&gt;=1,AH39&gt;=1,AH40&gt;=1,AH41&gt;=1),"条件付","不成立"))</f>
        <v/>
      </c>
      <c r="AI47" s="249">
        <f>IF(AND(AI38&gt;=1,AI39&gt;=1,AI40&gt;=1,AI41&gt;=1,AI43&gt;=1,AI44&gt;=1),"成立",IF(AND(AI43&gt;=1,AI44&gt;=1,AI39&gt;=1,AI40&gt;=1,AI41&gt;=1),"条件付","不成立"))</f>
        <v/>
      </c>
      <c r="AJ47" s="249">
        <f>IF(AND(AJ38&gt;=1,AJ39&gt;=1,AJ40&gt;=1,AJ41&gt;=1,AJ43&gt;=1,AJ44&gt;=1),"成立",IF(AND(AJ43&gt;=1,AJ44&gt;=1,AJ39&gt;=1,AJ40&gt;=1,AJ41&gt;=1),"条件付","不成立"))</f>
        <v/>
      </c>
      <c r="AK47" s="249">
        <f>IF(AND(AK38&gt;=1,AK39&gt;=1,AK40&gt;=1,AK41&gt;=1,AK43&gt;=1,AK44&gt;=1),"成立",IF(AND(AK43&gt;=1,AK44&gt;=1,AK39&gt;=1,AK40&gt;=1,AK41&gt;=1),"条件付","不成立"))</f>
        <v/>
      </c>
    </row>
    <row r="48" ht="29.25" customHeight="1" s="447"/>
    <row r="49" ht="29.25" customHeight="1" s="447"/>
    <row r="50" ht="29.25" customHeight="1" s="447" thickBot="1"/>
    <row r="51" ht="29.25" customHeight="1" s="447" thickBot="1">
      <c r="G51" s="462" t="inlineStr">
        <is>
          <t>シフト表</t>
        </is>
      </c>
      <c r="H51" s="463" t="n"/>
      <c r="I51" s="463" t="n"/>
      <c r="J51" s="463" t="n"/>
      <c r="K51" s="463" t="n"/>
      <c r="L51" s="464" t="n"/>
      <c r="P51" s="465" t="inlineStr">
        <is>
          <t>推奨シフト</t>
        </is>
      </c>
      <c r="Q51" s="463" t="n"/>
      <c r="R51" s="463" t="n"/>
      <c r="S51" s="463" t="n"/>
      <c r="T51" s="463" t="n"/>
      <c r="U51" s="463" t="n"/>
      <c r="V51" s="464" t="n"/>
    </row>
    <row r="52" ht="29.25" customHeight="1" s="447" thickTop="1">
      <c r="G52" s="263" t="inlineStr">
        <is>
          <t>A</t>
        </is>
      </c>
      <c r="H52" s="351" t="n">
        <v>0.375</v>
      </c>
      <c r="I52" s="466" t="n"/>
      <c r="J52" s="264" t="inlineStr">
        <is>
          <t>〜</t>
        </is>
      </c>
      <c r="K52" s="355" t="n">
        <v>0.7083333333333334</v>
      </c>
      <c r="L52" s="467" t="n"/>
      <c r="P52" s="468" t="inlineStr">
        <is>
          <t>推奨シフト</t>
        </is>
      </c>
      <c r="Q52" s="466" t="n"/>
      <c r="R52" s="469" t="n"/>
      <c r="S52" s="470" t="inlineStr">
        <is>
          <t>夜勤</t>
        </is>
      </c>
      <c r="T52" s="469" t="n"/>
      <c r="U52" s="267" t="inlineStr">
        <is>
          <t>D</t>
        </is>
      </c>
      <c r="V52" s="268" t="inlineStr">
        <is>
          <t>C</t>
        </is>
      </c>
    </row>
    <row r="53" ht="29.25" customHeight="1" s="447">
      <c r="G53" s="261" t="inlineStr">
        <is>
          <t>B</t>
        </is>
      </c>
      <c r="H53" s="353" t="n">
        <v>0.3125</v>
      </c>
      <c r="I53" s="471" t="n"/>
      <c r="J53" s="259" t="inlineStr">
        <is>
          <t>〜</t>
        </is>
      </c>
      <c r="K53" s="356" t="n">
        <v>0.6458333333333334</v>
      </c>
      <c r="L53" s="472" t="n"/>
      <c r="P53" s="473" t="inlineStr">
        <is>
          <t>推奨シフト</t>
        </is>
      </c>
      <c r="Q53" s="471" t="n"/>
      <c r="R53" s="474" t="n"/>
      <c r="S53" s="385" t="inlineStr">
        <is>
          <t>夜勤</t>
        </is>
      </c>
      <c r="T53" s="474" t="n"/>
      <c r="U53" s="385" t="inlineStr">
        <is>
          <t>B</t>
        </is>
      </c>
      <c r="V53" s="269" t="inlineStr">
        <is>
          <t>C</t>
        </is>
      </c>
    </row>
    <row r="54" ht="29.25" customHeight="1" s="447" thickBot="1">
      <c r="G54" s="261" t="inlineStr">
        <is>
          <t>C</t>
        </is>
      </c>
      <c r="H54" s="381" t="n">
        <v>0.5208333333333334</v>
      </c>
      <c r="I54" s="474" t="n"/>
      <c r="J54" s="259" t="inlineStr">
        <is>
          <t>〜</t>
        </is>
      </c>
      <c r="K54" s="387" t="n">
        <v>0.8541666666666666</v>
      </c>
      <c r="L54" s="474" t="n"/>
      <c r="P54" s="475" t="inlineStr">
        <is>
          <t>推奨シフト</t>
        </is>
      </c>
      <c r="Q54" s="476" t="n"/>
      <c r="R54" s="477" t="n"/>
      <c r="S54" s="386" t="inlineStr">
        <is>
          <t>夜勤</t>
        </is>
      </c>
      <c r="T54" s="477" t="n"/>
      <c r="U54" s="386" t="inlineStr">
        <is>
          <t>A</t>
        </is>
      </c>
      <c r="V54" s="436" t="inlineStr">
        <is>
          <t>C</t>
        </is>
      </c>
    </row>
    <row r="55" ht="29.25" customHeight="1" s="447">
      <c r="E55" s="258" t="n"/>
      <c r="F55" s="245" t="inlineStr">
        <is>
          <t>A</t>
        </is>
      </c>
      <c r="G55" s="261" t="inlineStr">
        <is>
          <t>D</t>
        </is>
      </c>
      <c r="H55" s="381" t="n">
        <v>0.3541666666666667</v>
      </c>
      <c r="I55" s="474" t="n"/>
      <c r="J55" s="259" t="inlineStr">
        <is>
          <t>〜</t>
        </is>
      </c>
      <c r="K55" s="387" t="n">
        <v>0.6875</v>
      </c>
      <c r="L55" s="474" t="n"/>
      <c r="M55" s="245" t="n"/>
      <c r="N55" s="245" t="n"/>
      <c r="O55" s="245" t="n"/>
      <c r="P55" s="437" t="n"/>
      <c r="Q55" s="478" t="n"/>
      <c r="R55" s="478" t="n"/>
      <c r="S55" s="440" t="n"/>
      <c r="T55" s="478" t="n"/>
      <c r="U55" s="440" t="n"/>
      <c r="V55" s="441" t="n"/>
    </row>
    <row r="56" ht="29.25" customHeight="1" s="447" thickBot="1">
      <c r="E56" s="258" t="n"/>
      <c r="F56" s="245" t="inlineStr">
        <is>
          <t>B</t>
        </is>
      </c>
      <c r="G56" s="262" t="inlineStr">
        <is>
          <t>夜勤</t>
        </is>
      </c>
      <c r="H56" s="383" t="n">
        <v>0.7083333333333334</v>
      </c>
      <c r="I56" s="479" t="n"/>
      <c r="J56" s="260" t="inlineStr">
        <is>
          <t>〜</t>
        </is>
      </c>
      <c r="K56" s="389" t="n">
        <v>0.375</v>
      </c>
      <c r="L56" s="479" t="n"/>
      <c r="M56" s="245" t="n"/>
      <c r="N56" s="245" t="n"/>
      <c r="O56" s="245" t="n"/>
      <c r="P56" s="442" t="n"/>
      <c r="S56" s="445" t="n"/>
      <c r="U56" s="445" t="n"/>
      <c r="V56" s="446" t="n"/>
    </row>
    <row r="57" ht="29.25" customHeight="1" s="447">
      <c r="E57" s="258" t="n"/>
      <c r="F57" s="245" t="inlineStr">
        <is>
          <t>C</t>
        </is>
      </c>
      <c r="M57" s="245" t="n"/>
      <c r="N57" s="245" t="n"/>
      <c r="O57" s="245" t="n"/>
      <c r="P57" s="442" t="n"/>
      <c r="S57" s="445" t="n"/>
      <c r="U57" s="445" t="n"/>
      <c r="V57" s="446" t="n"/>
    </row>
    <row r="58" ht="29.25" customHeight="1" s="447">
      <c r="E58" s="258" t="n"/>
      <c r="F58" s="245" t="inlineStr">
        <is>
          <t>D</t>
        </is>
      </c>
      <c r="M58" s="245" t="n"/>
      <c r="N58" s="245" t="n"/>
      <c r="O58" s="245" t="n"/>
    </row>
    <row r="59" ht="29.25" customHeight="1" s="447">
      <c r="E59" s="258" t="n"/>
      <c r="F59" s="245" t="inlineStr">
        <is>
          <t>夜勤</t>
        </is>
      </c>
      <c r="M59" s="245" t="n"/>
      <c r="N59" s="245" t="n"/>
      <c r="O59" s="245" t="n"/>
    </row>
    <row r="60" ht="29.25" customHeight="1" s="447">
      <c r="E60" s="258" t="n"/>
      <c r="F60" s="245" t="n"/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45" t="n"/>
      <c r="R60" s="258" t="n"/>
    </row>
    <row r="61" ht="29.25" customHeight="1" s="447">
      <c r="E61" s="258" t="n"/>
      <c r="O61" s="245" t="n"/>
      <c r="P61" s="245" t="n"/>
      <c r="Q61" s="245" t="n"/>
      <c r="R61" s="258" t="n"/>
    </row>
    <row r="62" ht="29.25" customHeight="1" s="447">
      <c r="E62" s="258" t="n"/>
      <c r="O62" s="258" t="n"/>
      <c r="P62" s="258" t="n"/>
      <c r="Q62" s="258" t="n"/>
      <c r="R62" s="258" t="n"/>
    </row>
    <row r="63" ht="29.25" customHeight="1" s="447"/>
    <row r="64" ht="29.25" customHeight="1" s="447"/>
    <row r="65" ht="29.25" customFormat="1" customHeight="1" s="132"/>
    <row r="66" ht="29.25" customFormat="1" customHeight="1" s="132"/>
    <row r="67" ht="29.25" customFormat="1" customHeight="1" s="132"/>
    <row r="68" ht="29.25" customFormat="1" customHeight="1" s="132"/>
    <row r="69" ht="29.25" customFormat="1" customHeight="1" s="132"/>
    <row r="70" ht="29.25" customFormat="1" customHeight="1" s="132"/>
    <row r="71" ht="29.25" customFormat="1" customHeight="1" s="132"/>
    <row r="72" ht="29.25" customFormat="1" customHeight="1" s="132"/>
    <row r="73" ht="29.25" customFormat="1" customHeight="1" s="132"/>
    <row r="74" ht="29.25" customFormat="1" customHeight="1" s="132"/>
    <row r="75" ht="29.25" customFormat="1" customHeight="1" s="132"/>
    <row r="76" ht="29.25" customFormat="1" customHeight="1" s="132"/>
    <row r="77" ht="29.25" customFormat="1" customHeight="1" s="132"/>
    <row r="78" ht="29.25" customFormat="1" customHeight="1" s="132"/>
    <row r="79" ht="29.25" customFormat="1" customHeight="1" s="132"/>
    <row r="80" ht="29.25" customFormat="1" customHeight="1" s="132"/>
    <row r="81" ht="29.25" customFormat="1" customHeight="1" s="132"/>
    <row r="82" ht="29.25" customFormat="1" customHeight="1" s="132"/>
    <row r="83" ht="29.25" customFormat="1" customHeight="1" s="132"/>
    <row r="84" ht="29.25" customFormat="1" customHeight="1" s="132"/>
    <row r="85" ht="29.25" customFormat="1" customHeight="1" s="132"/>
    <row r="86" ht="29.25" customFormat="1" customHeight="1" s="132"/>
    <row r="87" ht="29.25" customFormat="1" customHeight="1" s="132"/>
    <row r="88" ht="29.25" customFormat="1" customHeight="1" s="132"/>
    <row r="89" ht="29.25" customFormat="1" customHeight="1" s="132"/>
    <row r="90" ht="29.25" customFormat="1" customHeight="1" s="132"/>
    <row r="91" ht="29.25" customFormat="1" customHeight="1" s="132"/>
    <row r="92" ht="29.25" customFormat="1" customHeight="1" s="132"/>
    <row r="93" ht="29.25" customFormat="1" customHeight="1" s="132"/>
    <row r="94" ht="29.25" customFormat="1" customHeight="1" s="132"/>
    <row r="95" ht="29.25" customFormat="1" customHeight="1" s="132"/>
    <row r="96" ht="29.25" customFormat="1" customHeight="1" s="132"/>
    <row r="97" ht="29.25" customFormat="1" customHeight="1" s="132"/>
    <row r="98" ht="29.25" customFormat="1" customHeight="1" s="132"/>
    <row r="99" ht="29.25" customFormat="1" customHeight="1" s="132"/>
    <row r="100" ht="29.25" customFormat="1" customHeight="1" s="132"/>
    <row r="101" ht="29.25" customFormat="1" customHeight="1" s="132"/>
    <row r="102" ht="29.25" customFormat="1" customHeight="1" s="132"/>
    <row r="103" ht="29.25" customFormat="1" customHeight="1" s="132"/>
    <row r="104" ht="29.25" customFormat="1" customHeight="1" s="132"/>
  </sheetData>
  <mergeCells count="30">
    <mergeCell ref="P52:R52"/>
    <mergeCell ref="H53:I53"/>
    <mergeCell ref="AD3:AK3"/>
    <mergeCell ref="S56:T56"/>
    <mergeCell ref="H54:I54"/>
    <mergeCell ref="H55:I55"/>
    <mergeCell ref="K54:L54"/>
    <mergeCell ref="S52:T52"/>
    <mergeCell ref="K55:L55"/>
    <mergeCell ref="H56:I56"/>
    <mergeCell ref="P57:R57"/>
    <mergeCell ref="L2:O2"/>
    <mergeCell ref="P53:R53"/>
    <mergeCell ref="G2:J2"/>
    <mergeCell ref="P51:V51"/>
    <mergeCell ref="G51:L51"/>
    <mergeCell ref="S57:T57"/>
    <mergeCell ref="H52:I52"/>
    <mergeCell ref="K56:L56"/>
    <mergeCell ref="B4:C5"/>
    <mergeCell ref="K52:L52"/>
    <mergeCell ref="S53:T53"/>
    <mergeCell ref="P54:R54"/>
    <mergeCell ref="B38:B47"/>
    <mergeCell ref="P55:R55"/>
    <mergeCell ref="S55:T55"/>
    <mergeCell ref="K53:L53"/>
    <mergeCell ref="S54:T54"/>
    <mergeCell ref="P56:R56"/>
    <mergeCell ref="B27:B35"/>
  </mergeCells>
  <conditionalFormatting sqref="D6:F19">
    <cfRule type="containsText" priority="17" operator="containsText" dxfId="32" text="希">
      <formula>NOT(ISERROR(SEARCH("希",D6)))</formula>
    </cfRule>
    <cfRule type="containsText" priority="10" operator="containsText" dxfId="13" text="A">
      <formula>NOT(ISERROR(SEARCH("A",D6)))</formula>
    </cfRule>
    <cfRule type="containsText" priority="11" operator="containsText" dxfId="93" text="B">
      <formula>NOT(ISERROR(SEARCH("B",D6)))</formula>
    </cfRule>
    <cfRule type="containsText" priority="12" operator="containsText" dxfId="10" text="C">
      <formula>NOT(ISERROR(SEARCH("C",D6)))</formula>
    </cfRule>
    <cfRule type="containsText" priority="13" operator="containsText" dxfId="1" text="D">
      <formula>NOT(ISERROR(SEARCH("D",D6)))</formula>
    </cfRule>
    <cfRule type="containsText" priority="14" operator="containsText" dxfId="13" text="E">
      <formula>NOT(ISERROR(SEARCH("E",D6)))</formula>
    </cfRule>
    <cfRule type="containsText" priority="15" operator="containsText" dxfId="89" text="夜">
      <formula>NOT(ISERROR(SEARCH("夜",D6)))</formula>
    </cfRule>
    <cfRule type="containsText" priority="16" operator="containsText" dxfId="88" text="明">
      <formula>NOT(ISERROR(SEARCH("明",D6)))</formula>
    </cfRule>
  </conditionalFormatting>
  <conditionalFormatting sqref="D6:F25">
    <cfRule type="containsText" priority="22" operator="containsText" dxfId="81" text="研">
      <formula>NOT(ISERROR(SEARCH("研",D6)))</formula>
    </cfRule>
    <cfRule type="containsText" priority="21" operator="containsText" dxfId="13" text="調2">
      <formula>NOT(ISERROR(SEARCH("調2",D6)))</formula>
    </cfRule>
    <cfRule type="containsText" priority="20" operator="containsText" dxfId="10" text="調1">
      <formula>NOT(ISERROR(SEARCH("調1",D6)))</formula>
    </cfRule>
    <cfRule type="containsText" priority="19" operator="containsText" dxfId="84" text="有">
      <formula>NOT(ISERROR(SEARCH("有",D6)))</formula>
    </cfRule>
    <cfRule type="containsText" priority="18" operator="containsText" dxfId="4" text="休">
      <formula>NOT(ISERROR(SEARCH("休",D6)))</formula>
    </cfRule>
    <cfRule type="containsText" priority="9" operator="containsText" dxfId="81" text="健">
      <formula>NOT(ISERROR(SEARCH("健",D6)))</formula>
    </cfRule>
  </conditionalFormatting>
  <conditionalFormatting sqref="D5:AK5">
    <cfRule type="containsText" priority="2887" operator="containsText" dxfId="58" text="土">
      <formula>NOT(ISERROR(SEARCH("土",D5)))</formula>
    </cfRule>
    <cfRule type="containsText" priority="2889" operator="containsText" dxfId="57" text="日">
      <formula>NOT(ISERROR(SEARCH("日",D5)))</formula>
    </cfRule>
  </conditionalFormatting>
  <conditionalFormatting sqref="G6:AK19">
    <cfRule type="containsText" priority="40" operator="containsText" dxfId="13" text="Ａ">
      <formula>NOT(ISERROR(SEARCH("Ａ",G6)))</formula>
    </cfRule>
    <cfRule type="containsText" priority="47" operator="containsText" dxfId="32" text="希">
      <formula>NOT(ISERROR(SEARCH("希",G6)))</formula>
    </cfRule>
    <cfRule type="containsText" priority="46" operator="containsText" dxfId="88" text="明">
      <formula>NOT(ISERROR(SEARCH("明",G6)))</formula>
    </cfRule>
    <cfRule type="containsText" priority="45" operator="containsText" dxfId="89" text="夜">
      <formula>NOT(ISERROR(SEARCH("夜",G6)))</formula>
    </cfRule>
    <cfRule type="containsText" priority="44" operator="containsText" dxfId="13" text="Ｅ">
      <formula>NOT(ISERROR(SEARCH("Ｅ",G6)))</formula>
    </cfRule>
    <cfRule type="containsText" priority="43" operator="containsText" dxfId="1" text="Ｄ">
      <formula>NOT(ISERROR(SEARCH("Ｄ",G6)))</formula>
    </cfRule>
    <cfRule type="containsText" priority="42" operator="containsText" dxfId="10" text="Ｃ">
      <formula>NOT(ISERROR(SEARCH("Ｃ",G6)))</formula>
    </cfRule>
    <cfRule type="containsText" priority="41" operator="containsText" dxfId="93" text="Ｂ">
      <formula>NOT(ISERROR(SEARCH("Ｂ",G6)))</formula>
    </cfRule>
  </conditionalFormatting>
  <conditionalFormatting sqref="G6:AK25">
    <cfRule type="containsText" priority="52" operator="containsText" dxfId="81" text="研">
      <formula>NOT(ISERROR(SEARCH("研",G6)))</formula>
    </cfRule>
    <cfRule type="containsText" priority="51" operator="containsText" dxfId="13" text="調2">
      <formula>NOT(ISERROR(SEARCH("調2",G6)))</formula>
    </cfRule>
    <cfRule type="containsText" priority="50" operator="containsText" dxfId="10" text="調1">
      <formula>NOT(ISERROR(SEARCH("調1",G6)))</formula>
    </cfRule>
    <cfRule type="containsText" priority="49" operator="containsText" dxfId="84" text="有">
      <formula>NOT(ISERROR(SEARCH("有",G6)))</formula>
    </cfRule>
    <cfRule type="containsText" priority="48" operator="containsText" dxfId="4" text="休">
      <formula>NOT(ISERROR(SEARCH("休",G6)))</formula>
    </cfRule>
    <cfRule type="containsText" priority="39" operator="containsText" dxfId="81" text="健">
      <formula>NOT(ISERROR(SEARCH("健",G6)))</formula>
    </cfRule>
  </conditionalFormatting>
  <conditionalFormatting sqref="G27:AK32">
    <cfRule type="cellIs" priority="3034" operator="equal" dxfId="25">
      <formula>0</formula>
    </cfRule>
  </conditionalFormatting>
  <conditionalFormatting sqref="G34:AK34">
    <cfRule type="cellIs" priority="2895" operator="equal" dxfId="25">
      <formula>0</formula>
    </cfRule>
  </conditionalFormatting>
  <conditionalFormatting sqref="G35:AK35">
    <cfRule type="containsText" priority="2893" operator="containsText" dxfId="23" text="30分残業">
      <formula>NOT(ISERROR(SEARCH("30分残業",G35)))</formula>
    </cfRule>
    <cfRule type="containsText" priority="2894" operator="containsText" dxfId="28" text="不成立">
      <formula>NOT(ISERROR(SEARCH("不成立",G35)))</formula>
    </cfRule>
  </conditionalFormatting>
  <conditionalFormatting sqref="G38:AK45">
    <cfRule type="cellIs" priority="3061" operator="equal" dxfId="25">
      <formula>0</formula>
    </cfRule>
  </conditionalFormatting>
  <conditionalFormatting sqref="G47:AK47">
    <cfRule type="containsText" priority="2891" operator="containsText" dxfId="23" text="条件付">
      <formula>NOT(ISERROR(SEARCH("条件付",G47)))</formula>
    </cfRule>
    <cfRule type="containsText" priority="2892" operator="containsText" dxfId="74" text="不成立">
      <formula>NOT(ISERROR(SEARCH("不成立",G47)))</formula>
    </cfRule>
    <cfRule type="cellIs" priority="3035" operator="equal" dxfId="25">
      <formula>0</formula>
    </cfRule>
  </conditionalFormatting>
  <conditionalFormatting sqref="Q24">
    <cfRule type="containsText" priority="32" operator="containsText" dxfId="93" text="Ｂ">
      <formula>NOT(ISERROR(SEARCH("Ｂ",Q24)))</formula>
    </cfRule>
    <cfRule type="containsText" priority="38" operator="containsText" dxfId="32" text="希">
      <formula>NOT(ISERROR(SEARCH("希",Q24)))</formula>
    </cfRule>
    <cfRule type="containsText" priority="37" operator="containsText" dxfId="88" text="明">
      <formula>NOT(ISERROR(SEARCH("明",Q24)))</formula>
    </cfRule>
    <cfRule type="containsText" priority="36" operator="containsText" dxfId="89" text="夜">
      <formula>NOT(ISERROR(SEARCH("夜",Q24)))</formula>
    </cfRule>
    <cfRule type="containsText" priority="35" operator="containsText" dxfId="13" text="Ｅ">
      <formula>NOT(ISERROR(SEARCH("Ｅ",Q24)))</formula>
    </cfRule>
    <cfRule type="containsText" priority="34" operator="containsText" dxfId="1" text="Ｄ">
      <formula>NOT(ISERROR(SEARCH("Ｄ",Q24)))</formula>
    </cfRule>
    <cfRule type="containsText" priority="33" operator="containsText" dxfId="10" text="Ｃ">
      <formula>NOT(ISERROR(SEARCH("Ｃ",Q24)))</formula>
    </cfRule>
    <cfRule type="containsText" priority="31" operator="containsText" dxfId="13" text="Ａ">
      <formula>NOT(ISERROR(SEARCH("Ａ",Q24)))</formula>
    </cfRule>
  </conditionalFormatting>
  <conditionalFormatting sqref="R20">
    <cfRule type="containsText" priority="1" operator="containsText" dxfId="13" text="Ａ">
      <formula>NOT(ISERROR(SEARCH("Ａ",R20)))</formula>
    </cfRule>
    <cfRule type="containsText" priority="8" operator="containsText" dxfId="32" text="希">
      <formula>NOT(ISERROR(SEARCH("希",R20)))</formula>
    </cfRule>
    <cfRule type="containsText" priority="7" operator="containsText" dxfId="88" text="明">
      <formula>NOT(ISERROR(SEARCH("明",R20)))</formula>
    </cfRule>
    <cfRule type="containsText" priority="6" operator="containsText" dxfId="89" text="夜">
      <formula>NOT(ISERROR(SEARCH("夜",R20)))</formula>
    </cfRule>
    <cfRule type="containsText" priority="5" operator="containsText" dxfId="13" text="Ｅ">
      <formula>NOT(ISERROR(SEARCH("Ｅ",R20)))</formula>
    </cfRule>
    <cfRule type="containsText" priority="4" operator="containsText" dxfId="1" text="Ｄ">
      <formula>NOT(ISERROR(SEARCH("Ｄ",R20)))</formula>
    </cfRule>
    <cfRule type="containsText" priority="3" operator="containsText" dxfId="10" text="Ｃ">
      <formula>NOT(ISERROR(SEARCH("Ｃ",R20)))</formula>
    </cfRule>
    <cfRule type="containsText" priority="2" operator="containsText" dxfId="93" text="Ｂ">
      <formula>NOT(ISERROR(SEARCH("Ｂ",R20)))</formula>
    </cfRule>
  </conditionalFormatting>
  <conditionalFormatting sqref="X24">
    <cfRule type="containsText" priority="29" operator="containsText" dxfId="88" text="明">
      <formula>NOT(ISERROR(SEARCH("明",X24)))</formula>
    </cfRule>
    <cfRule type="containsText" priority="28" operator="containsText" dxfId="89" text="夜">
      <formula>NOT(ISERROR(SEARCH("夜",X24)))</formula>
    </cfRule>
    <cfRule type="containsText" priority="27" operator="containsText" dxfId="13" text="Ｅ">
      <formula>NOT(ISERROR(SEARCH("Ｅ",X24)))</formula>
    </cfRule>
    <cfRule type="containsText" priority="26" operator="containsText" dxfId="1" text="Ｄ">
      <formula>NOT(ISERROR(SEARCH("Ｄ",X24)))</formula>
    </cfRule>
    <cfRule type="containsText" priority="30" operator="containsText" dxfId="32" text="希">
      <formula>NOT(ISERROR(SEARCH("希",X24)))</formula>
    </cfRule>
    <cfRule type="containsText" priority="24" operator="containsText" dxfId="93" text="Ｂ">
      <formula>NOT(ISERROR(SEARCH("Ｂ",X24)))</formula>
    </cfRule>
    <cfRule type="containsText" priority="23" operator="containsText" dxfId="13" text="Ａ">
      <formula>NOT(ISERROR(SEARCH("Ａ",X24)))</formula>
    </cfRule>
    <cfRule type="containsText" priority="25" operator="containsText" dxfId="10" text="Ｃ">
      <formula>NOT(ISERROR(SEARCH("Ｃ",X24)))</formula>
    </cfRule>
  </conditionalFormatting>
  <conditionalFormatting sqref="BA6:BA26">
    <cfRule type="containsText" priority="2890" operator="containsText" dxfId="0" text="NG">
      <formula>NOT(ISERROR(SEARCH("NG",BA6)))</formula>
    </cfRule>
  </conditionalFormatting>
  <printOptions horizontalCentered="1" verticalCentered="1"/>
  <pageMargins left="0.1181102362204725" right="0.1181102362204725" top="0.1574803149606299" bottom="0.1574803149606299" header="0.3149606299212598" footer="0.3149606299212598"/>
  <pageSetup orientation="landscape" paperSize="9" scale="7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I24"/>
  <sheetViews>
    <sheetView workbookViewId="0">
      <selection activeCell="I15" sqref="I15"/>
    </sheetView>
  </sheetViews>
  <sheetFormatPr baseColWidth="10" defaultRowHeight="19"/>
  <cols>
    <col width="10.83203125" customWidth="1" style="125" min="3" max="3"/>
    <col width="13.1640625" customWidth="1" style="447" min="6" max="6"/>
  </cols>
  <sheetData>
    <row r="4">
      <c r="C4" s="125" t="inlineStr">
        <is>
          <t>A</t>
        </is>
      </c>
      <c r="D4" s="0" t="n">
        <v>22</v>
      </c>
    </row>
    <row r="5">
      <c r="C5" s="125" t="inlineStr">
        <is>
          <t>B</t>
        </is>
      </c>
      <c r="D5" s="0" t="n">
        <v>30</v>
      </c>
    </row>
    <row r="6">
      <c r="C6" s="125" t="inlineStr">
        <is>
          <t>C</t>
        </is>
      </c>
      <c r="D6" s="0" t="n">
        <v>30</v>
      </c>
    </row>
    <row r="7">
      <c r="C7" s="125" t="inlineStr">
        <is>
          <t>D</t>
        </is>
      </c>
      <c r="D7" s="0" t="n">
        <v>30</v>
      </c>
      <c r="E7" s="0">
        <f>SUM(D4:D7)</f>
        <v/>
      </c>
    </row>
    <row r="8">
      <c r="C8" s="125" t="inlineStr">
        <is>
          <t>夜</t>
        </is>
      </c>
      <c r="D8" s="0" t="n">
        <v>30</v>
      </c>
    </row>
    <row r="9">
      <c r="C9" s="125" t="inlineStr">
        <is>
          <t>明</t>
        </is>
      </c>
      <c r="D9" s="0" t="n">
        <v>30</v>
      </c>
    </row>
    <row r="10">
      <c r="C10" s="125" t="inlineStr">
        <is>
          <t>合計</t>
        </is>
      </c>
      <c r="D10" s="0">
        <f>SUM(D4:D9)</f>
        <v/>
      </c>
    </row>
    <row r="11">
      <c r="D11" s="0" t="inlineStr">
        <is>
          <t>所定日数</t>
        </is>
      </c>
      <c r="E11" s="0" t="inlineStr">
        <is>
          <t>有給</t>
        </is>
      </c>
      <c r="F11" s="0" t="inlineStr">
        <is>
          <t>出勤可能日数</t>
        </is>
      </c>
      <c r="G11" s="0" t="inlineStr">
        <is>
          <t>夜勤/明</t>
        </is>
      </c>
      <c r="H11" s="0" t="inlineStr">
        <is>
          <t>調理</t>
        </is>
      </c>
      <c r="I11" s="0" t="inlineStr">
        <is>
          <t>日勤可能数</t>
        </is>
      </c>
    </row>
    <row r="12" ht="17" customHeight="1" s="447">
      <c r="C12" s="278" t="inlineStr">
        <is>
          <t>吉玉　薫</t>
        </is>
      </c>
      <c r="D12" s="0" t="n">
        <v>19</v>
      </c>
      <c r="F12" s="0">
        <f>D12-E12</f>
        <v/>
      </c>
      <c r="G12" s="0" t="n">
        <v>18</v>
      </c>
      <c r="H12" s="0" t="n">
        <v>1</v>
      </c>
      <c r="I12" s="0">
        <f>F12-G12-H12</f>
        <v/>
      </c>
    </row>
    <row r="13" ht="17" customHeight="1" s="447">
      <c r="C13" s="278" t="inlineStr">
        <is>
          <t>飯星　まゆみ</t>
        </is>
      </c>
      <c r="D13" s="0" t="n">
        <v>21</v>
      </c>
      <c r="E13" s="0" t="n">
        <v>2</v>
      </c>
      <c r="F13" s="0">
        <f>D13-E13</f>
        <v/>
      </c>
      <c r="G13" s="0" t="n">
        <v>12</v>
      </c>
      <c r="I13" s="0">
        <f>F13-G13-H13</f>
        <v/>
      </c>
    </row>
    <row r="14" ht="17" customHeight="1" s="447">
      <c r="C14" s="278" t="inlineStr">
        <is>
          <t>興梠　道子</t>
        </is>
      </c>
      <c r="D14" s="0" t="n">
        <v>0</v>
      </c>
      <c r="F14" s="0">
        <f>D14-E14</f>
        <v/>
      </c>
      <c r="I14" s="0">
        <f>F14-G14-H14</f>
        <v/>
      </c>
    </row>
    <row r="15" ht="17" customHeight="1" s="447">
      <c r="C15" s="278" t="inlineStr">
        <is>
          <t>小椋　富美</t>
        </is>
      </c>
      <c r="D15" s="0" t="n">
        <v>21</v>
      </c>
      <c r="F15" s="0">
        <f>D15-E15</f>
        <v/>
      </c>
      <c r="G15" s="0" t="n">
        <v>8</v>
      </c>
      <c r="H15" s="0" t="n">
        <v>1</v>
      </c>
      <c r="I15" s="0">
        <f>F15-G15-H15</f>
        <v/>
      </c>
    </row>
    <row r="16" ht="17" customHeight="1" s="447">
      <c r="C16" s="279" t="inlineStr">
        <is>
          <t>佐藤　いそみ</t>
        </is>
      </c>
      <c r="D16" s="0" t="n">
        <v>14</v>
      </c>
      <c r="F16" s="0">
        <f>D16-E16</f>
        <v/>
      </c>
      <c r="G16" s="0" t="n">
        <v>14</v>
      </c>
      <c r="I16" s="0">
        <f>F16-G16-H16</f>
        <v/>
      </c>
    </row>
    <row r="17" ht="17" customHeight="1" s="447">
      <c r="C17" s="278" t="inlineStr">
        <is>
          <t>甲斐　裕美子</t>
        </is>
      </c>
      <c r="D17" s="0" t="n">
        <v>17</v>
      </c>
      <c r="F17" s="0">
        <f>D17-E17</f>
        <v/>
      </c>
      <c r="H17" s="0" t="n">
        <v>1</v>
      </c>
      <c r="I17" s="0">
        <f>F17-G17-H17</f>
        <v/>
      </c>
    </row>
    <row r="18" ht="17" customHeight="1" s="447">
      <c r="C18" s="279" t="inlineStr">
        <is>
          <t>辰見　イツ子</t>
        </is>
      </c>
      <c r="D18" s="0" t="n">
        <v>18</v>
      </c>
      <c r="E18" s="0" t="n">
        <v>2</v>
      </c>
      <c r="F18" s="0">
        <f>D18-E18</f>
        <v/>
      </c>
      <c r="I18" s="0">
        <f>F18-G18-H18</f>
        <v/>
      </c>
    </row>
    <row r="19" ht="17" customHeight="1" s="447">
      <c r="C19" s="279" t="inlineStr">
        <is>
          <t>甲斐　静幸</t>
        </is>
      </c>
      <c r="D19" s="0" t="n">
        <v>17</v>
      </c>
      <c r="F19" s="0">
        <f>D19-E19</f>
        <v/>
      </c>
      <c r="I19" s="0">
        <f>F19-G19-H19</f>
        <v/>
      </c>
    </row>
    <row r="20" ht="17" customHeight="1" s="447">
      <c r="C20" s="278" t="inlineStr">
        <is>
          <t>渡邊　哲也</t>
        </is>
      </c>
      <c r="D20" s="0" t="n">
        <v>10</v>
      </c>
      <c r="F20" s="0">
        <f>D20-E20</f>
        <v/>
      </c>
      <c r="G20" s="0" t="n">
        <v>8</v>
      </c>
      <c r="I20" s="0">
        <f>F20-G20-H20</f>
        <v/>
      </c>
    </row>
    <row r="21" ht="17" customHeight="1" s="447">
      <c r="C21" s="279" t="inlineStr">
        <is>
          <t>甲斐　充代</t>
        </is>
      </c>
      <c r="D21" s="0" t="n">
        <v>21</v>
      </c>
      <c r="F21" s="0">
        <f>D21-E21</f>
        <v/>
      </c>
      <c r="I21" s="0">
        <f>F21-G21-H21</f>
        <v/>
      </c>
    </row>
    <row r="22" ht="17" customHeight="1" s="447">
      <c r="C22" s="279" t="inlineStr">
        <is>
          <t>田上　元美</t>
        </is>
      </c>
      <c r="D22" s="0" t="n">
        <v>21</v>
      </c>
      <c r="F22" s="0">
        <f>D22-E22</f>
        <v/>
      </c>
      <c r="I22" s="0">
        <f>F22-G22-H22</f>
        <v/>
      </c>
    </row>
    <row r="23">
      <c r="C23" s="125" t="inlineStr">
        <is>
          <t>合計</t>
        </is>
      </c>
      <c r="D23" s="0">
        <f>SUM(D12:D22)</f>
        <v/>
      </c>
      <c r="E23" s="0">
        <f>SUM(E12:E22)</f>
        <v/>
      </c>
      <c r="F23" s="0">
        <f>SUM(F12:F22)</f>
        <v/>
      </c>
      <c r="G23" s="0">
        <f>SUM(G12:G22)</f>
        <v/>
      </c>
      <c r="H23" s="0">
        <f>SUM(H12:H22)</f>
        <v/>
      </c>
      <c r="I23" s="0">
        <f>SUM(I12:I22)</f>
        <v/>
      </c>
    </row>
    <row r="24">
      <c r="I24" s="0">
        <f>G23+I23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BG52"/>
  <sheetViews>
    <sheetView workbookViewId="0">
      <pane xSplit="4" ySplit="5" topLeftCell="X6" activePane="bottomRight" state="frozen"/>
      <selection pane="topRight" activeCell="E1" sqref="E1"/>
      <selection pane="bottomLeft" activeCell="A6" sqref="A6"/>
      <selection pane="bottomRight" activeCell="D14" sqref="D14"/>
    </sheetView>
  </sheetViews>
  <sheetFormatPr baseColWidth="10" defaultColWidth="9" defaultRowHeight="17"/>
  <cols>
    <col width="4.1640625" customWidth="1" style="132" min="1" max="1"/>
    <col width="16.83203125" customWidth="1" style="132" min="2" max="2"/>
    <col width="14.33203125" customWidth="1" style="132" min="3" max="3"/>
    <col width="20" customWidth="1" style="132" min="4" max="4"/>
    <col width="4.6640625" customWidth="1" style="132" min="5" max="14"/>
    <col width="4.5" customWidth="1" style="132" min="15" max="15"/>
    <col width="4.6640625" customWidth="1" style="132" min="16" max="35"/>
    <col width="3.6640625" customWidth="1" style="132" min="36" max="36"/>
    <col width="8.33203125" customWidth="1" style="132" min="37" max="37"/>
    <col width="8.6640625" customWidth="1" style="132" min="38" max="44"/>
    <col width="8.33203125" customWidth="1" style="132" min="45" max="45"/>
    <col width="8" customWidth="1" style="132" min="46" max="46"/>
    <col width="8.33203125" customWidth="1" style="132" min="47" max="47"/>
    <col width="8.6640625" customWidth="1" style="132" min="48" max="48"/>
    <col width="10.33203125" customWidth="1" style="132" min="49" max="49"/>
    <col width="14.1640625" customWidth="1" style="132" min="50" max="50"/>
    <col width="11" customWidth="1" style="132" min="51" max="51"/>
    <col width="9" customWidth="1" style="132" min="52" max="16384"/>
  </cols>
  <sheetData>
    <row r="1" ht="15" customHeight="1" s="447">
      <c r="N1" s="177" t="n"/>
      <c r="P1" s="177" t="n"/>
    </row>
    <row r="2" ht="25" customHeight="1" s="447" thickBot="1">
      <c r="B2" s="178" t="inlineStr">
        <is>
          <t>【予定】</t>
        </is>
      </c>
      <c r="C2" s="178" t="n"/>
      <c r="D2" s="133" t="inlineStr">
        <is>
          <t>シフト表</t>
        </is>
      </c>
      <c r="E2" s="370">
        <f>入力フォーム!G2</f>
        <v/>
      </c>
      <c r="I2" s="134" t="inlineStr">
        <is>
          <t>〜</t>
        </is>
      </c>
      <c r="J2" s="448">
        <f>EOMONTH(E2,0)</f>
        <v/>
      </c>
      <c r="N2" s="134" t="n"/>
      <c r="O2" s="134" t="n"/>
      <c r="P2" s="134" t="n"/>
      <c r="Q2" s="134" t="n"/>
      <c r="R2" s="134" t="n"/>
      <c r="S2" s="134" t="n"/>
      <c r="T2" s="134" t="n"/>
      <c r="U2" s="134" t="n"/>
      <c r="V2" s="134" t="n"/>
      <c r="W2" s="134" t="n"/>
      <c r="X2" s="134" t="n"/>
      <c r="Y2" s="134" t="n"/>
      <c r="Z2" s="134" t="n"/>
      <c r="AA2" s="134" t="n"/>
      <c r="AB2" s="134" t="n"/>
      <c r="AC2" s="134" t="n"/>
      <c r="AD2" s="134" t="n"/>
      <c r="AE2" s="134" t="n"/>
      <c r="AF2" s="134" t="n"/>
      <c r="AG2" s="134" t="n"/>
      <c r="AH2" s="134" t="n"/>
      <c r="AI2" s="134" t="n"/>
      <c r="AL2" s="179" t="n"/>
      <c r="AM2" s="179" t="n"/>
      <c r="AN2" s="180" t="n"/>
    </row>
    <row r="3" ht="25.5" customHeight="1" s="447" thickBot="1">
      <c r="D3" s="446" t="n"/>
      <c r="E3" s="138" t="n"/>
      <c r="F3" s="139" t="n"/>
      <c r="H3" s="139" t="n"/>
      <c r="I3" s="139" t="n"/>
      <c r="J3" s="139" t="n"/>
      <c r="K3" s="139" t="n"/>
      <c r="L3" s="140" t="n"/>
      <c r="M3" s="141" t="n"/>
      <c r="N3" s="142" t="n"/>
      <c r="O3" s="396" t="n"/>
      <c r="P3" s="396" t="n"/>
      <c r="Q3" s="396" t="n"/>
      <c r="R3" s="396" t="n"/>
      <c r="S3" s="396" t="n"/>
      <c r="T3" s="396" t="n"/>
      <c r="U3" s="142" t="n"/>
      <c r="V3" s="142" t="n"/>
      <c r="W3" s="181" t="inlineStr">
        <is>
          <t>はあとふる</t>
        </is>
      </c>
      <c r="X3" s="142" t="n"/>
      <c r="Y3" s="142" t="n"/>
      <c r="Z3" s="396" t="n"/>
      <c r="AA3" s="396" t="n"/>
      <c r="AB3" s="394" t="n"/>
      <c r="AC3" s="449" t="n"/>
      <c r="AD3" s="449" t="n"/>
      <c r="AE3" s="449" t="n"/>
      <c r="AF3" s="449" t="n"/>
      <c r="AG3" s="449" t="n"/>
      <c r="AH3" s="449" t="n"/>
      <c r="AI3" s="449" t="n"/>
      <c r="AY3" s="182">
        <f>MONTH(E2)</f>
        <v/>
      </c>
    </row>
    <row r="4" ht="27.75" customHeight="1" s="447">
      <c r="A4" s="183" t="n"/>
      <c r="B4" s="450" t="n"/>
      <c r="C4" s="478" t="n"/>
      <c r="D4" s="451" t="n"/>
      <c r="E4" s="480">
        <f>E2</f>
        <v/>
      </c>
      <c r="F4" s="452">
        <f>E4+1</f>
        <v/>
      </c>
      <c r="G4" s="452">
        <f>F4+1</f>
        <v/>
      </c>
      <c r="H4" s="452">
        <f>G4+1</f>
        <v/>
      </c>
      <c r="I4" s="452">
        <f>H4+1</f>
        <v/>
      </c>
      <c r="J4" s="452">
        <f>I4+1</f>
        <v/>
      </c>
      <c r="K4" s="452">
        <f>J4+1</f>
        <v/>
      </c>
      <c r="L4" s="452">
        <f>K4+1</f>
        <v/>
      </c>
      <c r="M4" s="452">
        <f>L4+1</f>
        <v/>
      </c>
      <c r="N4" s="452">
        <f>M4+1</f>
        <v/>
      </c>
      <c r="O4" s="452">
        <f>N4+1</f>
        <v/>
      </c>
      <c r="P4" s="452">
        <f>O4+1</f>
        <v/>
      </c>
      <c r="Q4" s="452">
        <f>P4+1</f>
        <v/>
      </c>
      <c r="R4" s="452">
        <f>Q4+1</f>
        <v/>
      </c>
      <c r="S4" s="452">
        <f>R4+1</f>
        <v/>
      </c>
      <c r="T4" s="452">
        <f>S4+1</f>
        <v/>
      </c>
      <c r="U4" s="452">
        <f>T4+1</f>
        <v/>
      </c>
      <c r="V4" s="452">
        <f>U4+1</f>
        <v/>
      </c>
      <c r="W4" s="452">
        <f>V4+1</f>
        <v/>
      </c>
      <c r="X4" s="452">
        <f>W4+1</f>
        <v/>
      </c>
      <c r="Y4" s="453">
        <f>X4+1</f>
        <v/>
      </c>
      <c r="Z4" s="452">
        <f>Y4+1</f>
        <v/>
      </c>
      <c r="AA4" s="452">
        <f>Z4+1</f>
        <v/>
      </c>
      <c r="AB4" s="452">
        <f>AA4+1</f>
        <v/>
      </c>
      <c r="AC4" s="453">
        <f>AB4+1</f>
        <v/>
      </c>
      <c r="AD4" s="456">
        <f>AC4+1</f>
        <v/>
      </c>
      <c r="AE4" s="452">
        <f>AD4+1</f>
        <v/>
      </c>
      <c r="AF4" s="452">
        <f>AE4+1</f>
        <v/>
      </c>
      <c r="AG4" s="452">
        <f>AF4+1</f>
        <v/>
      </c>
      <c r="AH4" s="453">
        <f>AG4+1</f>
        <v/>
      </c>
      <c r="AI4" s="454">
        <f>AH4+1</f>
        <v/>
      </c>
      <c r="AJ4" s="184" t="n"/>
      <c r="AL4" s="185" t="n"/>
      <c r="AM4" s="185" t="n"/>
      <c r="AN4" s="185" t="n"/>
      <c r="AO4" s="185" t="n"/>
      <c r="AP4" s="185" t="n"/>
      <c r="AQ4" s="185" t="n"/>
      <c r="AR4" s="185" t="n"/>
      <c r="AV4" s="185" t="n"/>
      <c r="AW4" s="185" t="n"/>
      <c r="AX4" s="185" t="n"/>
    </row>
    <row r="5" ht="27.75" customHeight="1" s="447" thickBot="1">
      <c r="A5" s="186" t="n"/>
      <c r="B5" s="458" t="n"/>
      <c r="C5" s="449" t="n"/>
      <c r="D5" s="459" t="n"/>
      <c r="E5" s="187">
        <f>TEXT(E4,"aaa")</f>
        <v/>
      </c>
      <c r="F5" s="145">
        <f>TEXT(F4,"aaa")</f>
        <v/>
      </c>
      <c r="G5" s="147">
        <f>TEXT(G4,"aaa")</f>
        <v/>
      </c>
      <c r="H5" s="148">
        <f>TEXT(H4,"aaa")</f>
        <v/>
      </c>
      <c r="I5" s="148">
        <f>TEXT(I4,"aaa")</f>
        <v/>
      </c>
      <c r="J5" s="148">
        <f>TEXT(J4,"aaa")</f>
        <v/>
      </c>
      <c r="K5" s="145">
        <f>TEXT(K4,"aaa")</f>
        <v/>
      </c>
      <c r="L5" s="145">
        <f>TEXT(L4,"aaa")</f>
        <v/>
      </c>
      <c r="M5" s="145">
        <f>TEXT(M4,"aaa")</f>
        <v/>
      </c>
      <c r="N5" s="145">
        <f>TEXT(N4,"aaa")</f>
        <v/>
      </c>
      <c r="O5" s="147">
        <f>TEXT(O4,"aaa")</f>
        <v/>
      </c>
      <c r="P5" s="145">
        <f>TEXT(P4,"aaa")</f>
        <v/>
      </c>
      <c r="Q5" s="145">
        <f>TEXT(Q4,"aaa")</f>
        <v/>
      </c>
      <c r="R5" s="145">
        <f>TEXT(R4,"aaa")</f>
        <v/>
      </c>
      <c r="S5" s="147">
        <f>TEXT(S4,"aaa")</f>
        <v/>
      </c>
      <c r="T5" s="145">
        <f>TEXT(T4,"aaa")</f>
        <v/>
      </c>
      <c r="U5" s="145">
        <f>TEXT(U4,"aaa")</f>
        <v/>
      </c>
      <c r="V5" s="145">
        <f>TEXT(V4,"aaa")</f>
        <v/>
      </c>
      <c r="W5" s="145">
        <f>TEXT(W4,"aaa")</f>
        <v/>
      </c>
      <c r="X5" s="145">
        <f>TEXT(X4,"aaa")</f>
        <v/>
      </c>
      <c r="Y5" s="145">
        <f>TEXT(Y4,"aaa")</f>
        <v/>
      </c>
      <c r="Z5" s="145">
        <f>TEXT(Z4,"aaa")</f>
        <v/>
      </c>
      <c r="AA5" s="148">
        <f>TEXT(AA4,"aaa")</f>
        <v/>
      </c>
      <c r="AB5" s="147">
        <f>TEXT(AB4,"aaa")</f>
        <v/>
      </c>
      <c r="AC5" s="145">
        <f>TEXT(AC4,"aaa")</f>
        <v/>
      </c>
      <c r="AD5" s="145">
        <f>TEXT(AD4,"aaa")</f>
        <v/>
      </c>
      <c r="AE5" s="145">
        <f>TEXT(AE4,"aaa")</f>
        <v/>
      </c>
      <c r="AF5" s="145">
        <f>TEXT(AF4,"aaa")</f>
        <v/>
      </c>
      <c r="AG5" s="145">
        <f>TEXT(AG4,"aaa")</f>
        <v/>
      </c>
      <c r="AH5" s="145">
        <f>TEXT(AH4,"aaa")</f>
        <v/>
      </c>
      <c r="AI5" s="146">
        <f>TEXT(AI4,"aaa")</f>
        <v/>
      </c>
      <c r="AJ5" s="188" t="n"/>
      <c r="AK5" s="189" t="inlineStr">
        <is>
          <t>Ａ</t>
        </is>
      </c>
      <c r="AL5" s="190" t="inlineStr">
        <is>
          <t>Ｂ</t>
        </is>
      </c>
      <c r="AM5" s="190" t="inlineStr">
        <is>
          <t>Ｄ</t>
        </is>
      </c>
      <c r="AN5" s="190" t="inlineStr">
        <is>
          <t>Ｅ</t>
        </is>
      </c>
      <c r="AO5" s="191" t="inlineStr">
        <is>
          <t>C</t>
        </is>
      </c>
      <c r="AP5" s="192" t="inlineStr">
        <is>
          <t>夜</t>
        </is>
      </c>
      <c r="AQ5" s="192" t="inlineStr">
        <is>
          <t>明</t>
        </is>
      </c>
      <c r="AR5" s="193" t="inlineStr">
        <is>
          <t>他</t>
        </is>
      </c>
      <c r="AS5" s="194" t="inlineStr">
        <is>
          <t>調1</t>
        </is>
      </c>
      <c r="AT5" s="195" t="inlineStr">
        <is>
          <t>調2</t>
        </is>
      </c>
      <c r="AU5" s="196" t="inlineStr">
        <is>
          <t>有</t>
        </is>
      </c>
      <c r="AV5" s="197" t="inlineStr">
        <is>
          <t>休</t>
        </is>
      </c>
      <c r="AW5" s="198" t="inlineStr">
        <is>
          <t>出勤計</t>
        </is>
      </c>
      <c r="AX5" s="198" t="inlineStr">
        <is>
          <t>出勤上限</t>
        </is>
      </c>
      <c r="AY5" s="199" t="inlineStr">
        <is>
          <t>出勤日数
チェック</t>
        </is>
      </c>
    </row>
    <row r="6" ht="35.25" customHeight="1" s="447">
      <c r="A6" s="200" t="n"/>
      <c r="B6" s="151" t="inlineStr">
        <is>
          <t>管理者</t>
        </is>
      </c>
      <c r="C6" s="201" t="inlineStr">
        <is>
          <t>常勤/兼任</t>
        </is>
      </c>
      <c r="D6" s="152" t="inlineStr">
        <is>
          <t>吉玉　薫</t>
        </is>
      </c>
      <c r="E6" s="202" t="inlineStr">
        <is>
          <t>休</t>
        </is>
      </c>
      <c r="F6" s="153" t="inlineStr">
        <is>
          <t>休</t>
        </is>
      </c>
      <c r="G6" s="153" t="inlineStr">
        <is>
          <t>休</t>
        </is>
      </c>
      <c r="H6" s="153" t="inlineStr">
        <is>
          <t>休</t>
        </is>
      </c>
      <c r="I6" s="153" t="inlineStr">
        <is>
          <t>休</t>
        </is>
      </c>
      <c r="J6" s="153" t="inlineStr">
        <is>
          <t>休</t>
        </is>
      </c>
      <c r="K6" s="153" t="inlineStr">
        <is>
          <t>休</t>
        </is>
      </c>
      <c r="L6" s="153" t="inlineStr">
        <is>
          <t>休</t>
        </is>
      </c>
      <c r="M6" s="203" t="inlineStr">
        <is>
          <t>休</t>
        </is>
      </c>
      <c r="N6" s="153" t="inlineStr">
        <is>
          <t>休</t>
        </is>
      </c>
      <c r="O6" s="153" t="inlineStr">
        <is>
          <t>休</t>
        </is>
      </c>
      <c r="P6" s="153" t="inlineStr">
        <is>
          <t>Ｅ</t>
        </is>
      </c>
      <c r="Q6" s="153" t="inlineStr">
        <is>
          <t>休</t>
        </is>
      </c>
      <c r="R6" s="153" t="inlineStr">
        <is>
          <t>休</t>
        </is>
      </c>
      <c r="S6" s="153" t="inlineStr">
        <is>
          <t>休</t>
        </is>
      </c>
      <c r="T6" s="153" t="inlineStr">
        <is>
          <t>Ｅ</t>
        </is>
      </c>
      <c r="U6" s="153" t="inlineStr">
        <is>
          <t>休</t>
        </is>
      </c>
      <c r="V6" s="153" t="inlineStr">
        <is>
          <t>Ｅ</t>
        </is>
      </c>
      <c r="W6" s="153" t="inlineStr">
        <is>
          <t>休</t>
        </is>
      </c>
      <c r="X6" s="153" t="inlineStr">
        <is>
          <t>休</t>
        </is>
      </c>
      <c r="Y6" s="153" t="inlineStr">
        <is>
          <t>休</t>
        </is>
      </c>
      <c r="Z6" s="153" t="inlineStr">
        <is>
          <t>休</t>
        </is>
      </c>
      <c r="AA6" s="153" t="inlineStr">
        <is>
          <t>Ｅ</t>
        </is>
      </c>
      <c r="AB6" s="153" t="inlineStr">
        <is>
          <t>休</t>
        </is>
      </c>
      <c r="AC6" s="153" t="inlineStr">
        <is>
          <t>Ｅ</t>
        </is>
      </c>
      <c r="AD6" s="153" t="inlineStr">
        <is>
          <t>休</t>
        </is>
      </c>
      <c r="AE6" s="153" t="inlineStr">
        <is>
          <t>休</t>
        </is>
      </c>
      <c r="AF6" s="153" t="inlineStr">
        <is>
          <t>休</t>
        </is>
      </c>
      <c r="AG6" s="153" t="inlineStr">
        <is>
          <t>休</t>
        </is>
      </c>
      <c r="AH6" s="153" t="inlineStr">
        <is>
          <t>休</t>
        </is>
      </c>
      <c r="AI6" s="154" t="inlineStr">
        <is>
          <t>Ｅ</t>
        </is>
      </c>
      <c r="AJ6" s="204" t="n"/>
      <c r="AK6" s="205">
        <f>COUNTIF($E6:$AI6,"A")</f>
        <v/>
      </c>
      <c r="AL6" s="205">
        <f>COUNTIF($E6:$AI6,"B")</f>
        <v/>
      </c>
      <c r="AM6" s="205">
        <f>COUNTIF($E6:$AI6,"D")</f>
        <v/>
      </c>
      <c r="AN6" s="205">
        <f>+COUNTIF($E6:$AI6,"E")</f>
        <v/>
      </c>
      <c r="AO6" s="205">
        <f>COUNTIF($E6:$AI6,"C")</f>
        <v/>
      </c>
      <c r="AP6" s="205">
        <f>COUNTIF($E6:$AI6,"夜")</f>
        <v/>
      </c>
      <c r="AQ6" s="205">
        <f>COUNTIF($E6:$AI6,"明")</f>
        <v/>
      </c>
      <c r="AR6" s="205">
        <f>COUNTIF($E6:$AI6,"研")+COUNTIF($E6:$AI6,"健")</f>
        <v/>
      </c>
      <c r="AS6" s="205">
        <f>COUNTIF($E6:$AI6,"調1")</f>
        <v/>
      </c>
      <c r="AT6" s="205">
        <f>COUNTIF($E6:$AI6,"調2")</f>
        <v/>
      </c>
      <c r="AU6" s="205">
        <f>COUNTIF($E6:$AI6,"有")</f>
        <v/>
      </c>
      <c r="AV6" s="205">
        <f>COUNTIF($E6:$AI6,"休")+COUNTIF($E6:$AI6,"希")</f>
        <v/>
      </c>
      <c r="AW6" s="206">
        <f>SUM(AK6:AU6)</f>
        <v/>
      </c>
      <c r="AX6" s="206" t="n"/>
      <c r="AY6" s="207">
        <f>IF($AY$3=2,IF(AV6+AV7=8,"OK","NG"),IF(AV6+AV7=9,"OK","NG"))</f>
        <v/>
      </c>
    </row>
    <row r="7" ht="35.25" customHeight="1" s="447">
      <c r="A7" s="200" t="n"/>
      <c r="B7" s="155" t="inlineStr">
        <is>
          <t>介護職員</t>
        </is>
      </c>
      <c r="C7" s="208" t="inlineStr">
        <is>
          <t>常勤/兼任</t>
        </is>
      </c>
      <c r="D7" s="209" t="inlineStr">
        <is>
          <t>吉玉　薫</t>
        </is>
      </c>
      <c r="E7" s="210" t="inlineStr">
        <is>
          <t>休</t>
        </is>
      </c>
      <c r="F7" s="153" t="inlineStr">
        <is>
          <t>休</t>
        </is>
      </c>
      <c r="G7" s="153" t="inlineStr">
        <is>
          <t>休</t>
        </is>
      </c>
      <c r="H7" s="153" t="inlineStr">
        <is>
          <t>休</t>
        </is>
      </c>
      <c r="I7" s="153" t="inlineStr">
        <is>
          <t>休</t>
        </is>
      </c>
      <c r="J7" s="153" t="inlineStr">
        <is>
          <t>夜</t>
        </is>
      </c>
      <c r="K7" s="153" t="inlineStr">
        <is>
          <t>明</t>
        </is>
      </c>
      <c r="L7" s="153" t="inlineStr">
        <is>
          <t>休</t>
        </is>
      </c>
      <c r="M7" s="153" t="inlineStr">
        <is>
          <t>休</t>
        </is>
      </c>
      <c r="N7" s="153" t="inlineStr">
        <is>
          <t>休</t>
        </is>
      </c>
      <c r="O7" s="153" t="inlineStr">
        <is>
          <t>休</t>
        </is>
      </c>
      <c r="P7" s="153" t="inlineStr">
        <is>
          <t>休</t>
        </is>
      </c>
      <c r="Q7" s="153" t="inlineStr">
        <is>
          <t>休</t>
        </is>
      </c>
      <c r="R7" s="153" t="inlineStr">
        <is>
          <t>休</t>
        </is>
      </c>
      <c r="S7" s="153" t="inlineStr">
        <is>
          <t>休</t>
        </is>
      </c>
      <c r="T7" s="153" t="inlineStr">
        <is>
          <t>休</t>
        </is>
      </c>
      <c r="U7" s="153" t="inlineStr">
        <is>
          <t>休</t>
        </is>
      </c>
      <c r="V7" s="153" t="inlineStr">
        <is>
          <t>休</t>
        </is>
      </c>
      <c r="W7" s="153" t="inlineStr">
        <is>
          <t>休</t>
        </is>
      </c>
      <c r="X7" s="153" t="inlineStr">
        <is>
          <t>夜</t>
        </is>
      </c>
      <c r="Y7" s="153" t="inlineStr">
        <is>
          <t>明</t>
        </is>
      </c>
      <c r="Z7" s="161" t="inlineStr">
        <is>
          <t>休</t>
        </is>
      </c>
      <c r="AA7" s="161" t="inlineStr">
        <is>
          <t>休</t>
        </is>
      </c>
      <c r="AB7" s="161" t="inlineStr">
        <is>
          <t>休</t>
        </is>
      </c>
      <c r="AC7" s="153" t="inlineStr">
        <is>
          <t>休</t>
        </is>
      </c>
      <c r="AD7" s="153" t="inlineStr">
        <is>
          <t>休</t>
        </is>
      </c>
      <c r="AE7" s="153" t="inlineStr">
        <is>
          <t>休</t>
        </is>
      </c>
      <c r="AF7" s="153" t="inlineStr">
        <is>
          <t>休</t>
        </is>
      </c>
      <c r="AG7" s="153" t="inlineStr">
        <is>
          <t>休</t>
        </is>
      </c>
      <c r="AH7" s="153" t="inlineStr">
        <is>
          <t>休</t>
        </is>
      </c>
      <c r="AI7" s="211" t="inlineStr">
        <is>
          <t>休</t>
        </is>
      </c>
      <c r="AJ7" s="204" t="n"/>
      <c r="AK7" s="205">
        <f>COUNTIF($E7:$AI7,"A")</f>
        <v/>
      </c>
      <c r="AL7" s="205">
        <f>COUNTIF($E7:$AI7,"B")</f>
        <v/>
      </c>
      <c r="AM7" s="205">
        <f>COUNTIF($E7:$AI7,"D")</f>
        <v/>
      </c>
      <c r="AN7" s="205">
        <f>+COUNTIF($E7:$AI7,"E")</f>
        <v/>
      </c>
      <c r="AO7" s="205">
        <f>COUNTIF($E7:$AI7,"C")</f>
        <v/>
      </c>
      <c r="AP7" s="205">
        <f>COUNTIF($E7:$AI7,"夜")</f>
        <v/>
      </c>
      <c r="AQ7" s="205">
        <f>COUNTIF($E7:$AI7,"明")</f>
        <v/>
      </c>
      <c r="AR7" s="205">
        <f>COUNTIF($E7:$AI7,"研")+COUNTIF($E7:$AI7,"健")</f>
        <v/>
      </c>
      <c r="AS7" s="205">
        <f>COUNTIF($E7:$AI7,"調1")</f>
        <v/>
      </c>
      <c r="AT7" s="205">
        <f>COUNTIF($E7:$AI7,"調2")</f>
        <v/>
      </c>
      <c r="AU7" s="205">
        <f>COUNTIF($E7:$AI7,"有")</f>
        <v/>
      </c>
      <c r="AV7" s="205">
        <f>COUNTIF($E7:$AI7,"休")+COUNTIF($E7:$AI7,"希")</f>
        <v/>
      </c>
      <c r="AW7" s="206">
        <f>SUM(AK7:AU7)</f>
        <v/>
      </c>
      <c r="AX7" s="206" t="n"/>
      <c r="AY7" s="207" t="n"/>
    </row>
    <row r="8" ht="35.25" customHeight="1" s="447">
      <c r="A8" s="200" t="n"/>
      <c r="B8" s="155" t="inlineStr">
        <is>
          <t>介護職員</t>
        </is>
      </c>
      <c r="C8" s="212" t="inlineStr">
        <is>
          <t>常勤/専従</t>
        </is>
      </c>
      <c r="D8" s="156" t="inlineStr">
        <is>
          <t>飯星　まゆみ</t>
        </is>
      </c>
      <c r="E8" s="159" t="inlineStr">
        <is>
          <t>休</t>
        </is>
      </c>
      <c r="F8" s="159" t="inlineStr">
        <is>
          <t>夜</t>
        </is>
      </c>
      <c r="G8" s="159" t="inlineStr">
        <is>
          <t>明</t>
        </is>
      </c>
      <c r="H8" s="153" t="inlineStr">
        <is>
          <t>休</t>
        </is>
      </c>
      <c r="I8" s="153" t="inlineStr">
        <is>
          <t>夜</t>
        </is>
      </c>
      <c r="J8" s="153" t="inlineStr">
        <is>
          <t>明</t>
        </is>
      </c>
      <c r="K8" s="153" t="inlineStr">
        <is>
          <t>休</t>
        </is>
      </c>
      <c r="L8" s="153" t="inlineStr">
        <is>
          <t>Ｄ</t>
        </is>
      </c>
      <c r="M8" s="153" t="inlineStr">
        <is>
          <t>Ｄ</t>
        </is>
      </c>
      <c r="N8" s="153" t="inlineStr">
        <is>
          <t>Ｂ</t>
        </is>
      </c>
      <c r="O8" s="153" t="inlineStr">
        <is>
          <t>Ｄ</t>
        </is>
      </c>
      <c r="P8" s="153" t="inlineStr">
        <is>
          <t>休</t>
        </is>
      </c>
      <c r="Q8" s="153" t="inlineStr">
        <is>
          <t>夜</t>
        </is>
      </c>
      <c r="R8" s="153" t="inlineStr">
        <is>
          <t>明</t>
        </is>
      </c>
      <c r="S8" s="153" t="inlineStr">
        <is>
          <t>休</t>
        </is>
      </c>
      <c r="T8" s="153" t="inlineStr">
        <is>
          <t>Ｂ</t>
        </is>
      </c>
      <c r="U8" s="153" t="inlineStr">
        <is>
          <t>休</t>
        </is>
      </c>
      <c r="V8" s="153" t="inlineStr">
        <is>
          <t>夜</t>
        </is>
      </c>
      <c r="W8" s="153" t="inlineStr">
        <is>
          <t>明</t>
        </is>
      </c>
      <c r="X8" s="153" t="inlineStr">
        <is>
          <t>休</t>
        </is>
      </c>
      <c r="Y8" s="153" t="inlineStr">
        <is>
          <t>Ａ</t>
        </is>
      </c>
      <c r="Z8" s="153" t="inlineStr">
        <is>
          <t>休</t>
        </is>
      </c>
      <c r="AA8" s="153" t="inlineStr">
        <is>
          <t>夜</t>
        </is>
      </c>
      <c r="AB8" s="153" t="inlineStr">
        <is>
          <t>明</t>
        </is>
      </c>
      <c r="AC8" s="153" t="inlineStr">
        <is>
          <t>休</t>
        </is>
      </c>
      <c r="AD8" s="153" t="inlineStr">
        <is>
          <t>夜</t>
        </is>
      </c>
      <c r="AE8" s="153" t="inlineStr">
        <is>
          <t>明</t>
        </is>
      </c>
      <c r="AF8" s="153" t="inlineStr">
        <is>
          <t>Ａ</t>
        </is>
      </c>
      <c r="AG8" s="153" t="inlineStr">
        <is>
          <t>Ｂ</t>
        </is>
      </c>
      <c r="AH8" s="213" t="inlineStr">
        <is>
          <t>Ｄ</t>
        </is>
      </c>
      <c r="AI8" s="160" t="inlineStr">
        <is>
          <t>Ａ</t>
        </is>
      </c>
      <c r="AJ8" s="204" t="n"/>
      <c r="AK8" s="205">
        <f>COUNTIF($E8:$AI8,"A")</f>
        <v/>
      </c>
      <c r="AL8" s="205">
        <f>COUNTIF($E8:$AI8,"B")</f>
        <v/>
      </c>
      <c r="AM8" s="205">
        <f>COUNTIF($E8:$AI8,"D")</f>
        <v/>
      </c>
      <c r="AN8" s="205">
        <f>+COUNTIF($E8:$AI8,"E")</f>
        <v/>
      </c>
      <c r="AO8" s="205">
        <f>COUNTIF($E8:$AI8,"C")</f>
        <v/>
      </c>
      <c r="AP8" s="205">
        <f>COUNTIF($E8:$AI8,"夜")</f>
        <v/>
      </c>
      <c r="AQ8" s="205">
        <f>COUNTIF($E8:$AI8,"明")</f>
        <v/>
      </c>
      <c r="AR8" s="205">
        <f>COUNTIF($E8:$AI8,"研")+COUNTIF($E8:$AI8,"健")</f>
        <v/>
      </c>
      <c r="AS8" s="205">
        <f>COUNTIF($E8:$AI8,"調1")</f>
        <v/>
      </c>
      <c r="AT8" s="205">
        <f>COUNTIF($E8:$AI8,"調2")</f>
        <v/>
      </c>
      <c r="AU8" s="205">
        <f>COUNTIF($E8:$AI8,"有")</f>
        <v/>
      </c>
      <c r="AV8" s="205">
        <f>COUNTIF($E8:$AI8,"休")+COUNTIF($E8:$AI8,"希")</f>
        <v/>
      </c>
      <c r="AW8" s="206">
        <f>SUM(AK8:AU8)</f>
        <v/>
      </c>
      <c r="AX8" s="206" t="n"/>
      <c r="AY8" s="207">
        <f>IF($AY$3=2,IF(AV8=8,"OK","NG"),IF(AV8=9,"OK","NG"))</f>
        <v/>
      </c>
    </row>
    <row r="9" ht="35.25" customHeight="1" s="447">
      <c r="A9" s="200" t="n"/>
      <c r="B9" s="155" t="inlineStr">
        <is>
          <t>介護職員</t>
        </is>
      </c>
      <c r="C9" s="212" t="inlineStr">
        <is>
          <t>常勤/専従</t>
        </is>
      </c>
      <c r="D9" s="156" t="inlineStr">
        <is>
          <t>興梠　道子</t>
        </is>
      </c>
      <c r="E9" s="210" t="inlineStr">
        <is>
          <t>夜</t>
        </is>
      </c>
      <c r="F9" s="153" t="inlineStr">
        <is>
          <t>明</t>
        </is>
      </c>
      <c r="G9" s="153" t="inlineStr">
        <is>
          <t>休</t>
        </is>
      </c>
      <c r="H9" s="153" t="inlineStr">
        <is>
          <t>夜</t>
        </is>
      </c>
      <c r="I9" s="153" t="inlineStr">
        <is>
          <t>明</t>
        </is>
      </c>
      <c r="J9" s="153" t="inlineStr">
        <is>
          <t>休</t>
        </is>
      </c>
      <c r="K9" s="153" t="inlineStr">
        <is>
          <t>Ｂ</t>
        </is>
      </c>
      <c r="L9" s="153" t="inlineStr">
        <is>
          <t>休</t>
        </is>
      </c>
      <c r="M9" s="153" t="inlineStr">
        <is>
          <t>夜</t>
        </is>
      </c>
      <c r="N9" s="153" t="inlineStr">
        <is>
          <t>明</t>
        </is>
      </c>
      <c r="O9" s="153" t="inlineStr">
        <is>
          <t>休</t>
        </is>
      </c>
      <c r="P9" s="153" t="inlineStr">
        <is>
          <t>夜</t>
        </is>
      </c>
      <c r="Q9" s="153" t="inlineStr">
        <is>
          <t>明</t>
        </is>
      </c>
      <c r="R9" s="153" t="inlineStr">
        <is>
          <t>休</t>
        </is>
      </c>
      <c r="S9" s="153" t="inlineStr">
        <is>
          <t>夜</t>
        </is>
      </c>
      <c r="T9" s="153" t="inlineStr">
        <is>
          <t>明</t>
        </is>
      </c>
      <c r="U9" s="153" t="inlineStr">
        <is>
          <t>Ａ</t>
        </is>
      </c>
      <c r="V9" s="153" t="inlineStr">
        <is>
          <t>休</t>
        </is>
      </c>
      <c r="W9" s="153" t="inlineStr">
        <is>
          <t>Ｄ</t>
        </is>
      </c>
      <c r="X9" s="153" t="inlineStr">
        <is>
          <t>休</t>
        </is>
      </c>
      <c r="Y9" s="153" t="inlineStr">
        <is>
          <t>Ｄ</t>
        </is>
      </c>
      <c r="Z9" s="153" t="inlineStr">
        <is>
          <t>Ｂ</t>
        </is>
      </c>
      <c r="AA9" s="153" t="inlineStr">
        <is>
          <t>Ｄ</t>
        </is>
      </c>
      <c r="AB9" s="153" t="inlineStr">
        <is>
          <t>Ｄ</t>
        </is>
      </c>
      <c r="AC9" s="153" t="inlineStr">
        <is>
          <t>Ｂ</t>
        </is>
      </c>
      <c r="AD9" s="153" t="inlineStr">
        <is>
          <t>Ｂ</t>
        </is>
      </c>
      <c r="AE9" s="153" t="inlineStr">
        <is>
          <t>休</t>
        </is>
      </c>
      <c r="AF9" s="153" t="inlineStr">
        <is>
          <t>夜</t>
        </is>
      </c>
      <c r="AG9" s="153" t="inlineStr">
        <is>
          <t>明</t>
        </is>
      </c>
      <c r="AH9" s="153" t="inlineStr">
        <is>
          <t>休</t>
        </is>
      </c>
      <c r="AI9" s="153" t="inlineStr">
        <is>
          <t>夜</t>
        </is>
      </c>
      <c r="AJ9" s="204" t="n"/>
      <c r="AK9" s="205">
        <f>COUNTIF($E9:$AI9,"A")</f>
        <v/>
      </c>
      <c r="AL9" s="205">
        <f>COUNTIF($E9:$AI9,"B")</f>
        <v/>
      </c>
      <c r="AM9" s="205">
        <f>COUNTIF($E9:$AI9,"D")</f>
        <v/>
      </c>
      <c r="AN9" s="205">
        <f>+COUNTIF($E9:$AI9,"E")</f>
        <v/>
      </c>
      <c r="AO9" s="205">
        <f>COUNTIF($E9:$AI9,"C")</f>
        <v/>
      </c>
      <c r="AP9" s="205">
        <f>COUNTIF($E9:$AI9,"夜")</f>
        <v/>
      </c>
      <c r="AQ9" s="205">
        <f>COUNTIF($E9:$AI9,"明")</f>
        <v/>
      </c>
      <c r="AR9" s="205">
        <f>COUNTIF($E9:$AI9,"研")+COUNTIF($E9:$AI9,"健")</f>
        <v/>
      </c>
      <c r="AS9" s="205">
        <f>COUNTIF($E9:$AI9,"調1")</f>
        <v/>
      </c>
      <c r="AT9" s="205">
        <f>COUNTIF($E9:$AI9,"調2")</f>
        <v/>
      </c>
      <c r="AU9" s="205">
        <f>COUNTIF($E9:$AI9,"有")</f>
        <v/>
      </c>
      <c r="AV9" s="205">
        <f>COUNTIF($E9:$AI9,"休")+COUNTIF($E9:$AI9,"希")</f>
        <v/>
      </c>
      <c r="AW9" s="206">
        <f>SUM(AK9:AU9)</f>
        <v/>
      </c>
      <c r="AX9" s="206" t="n"/>
      <c r="AY9" s="207">
        <f>IF($AY$3=2,IF(AV9=8,"OK","NG"),IF(AV9=9,"OK","NG"))</f>
        <v/>
      </c>
    </row>
    <row r="10" ht="36" customHeight="1" s="447">
      <c r="A10" s="200" t="n"/>
      <c r="B10" s="155" t="inlineStr">
        <is>
          <t>介護職員</t>
        </is>
      </c>
      <c r="C10" s="212" t="inlineStr">
        <is>
          <t>常勤/兼任</t>
        </is>
      </c>
      <c r="D10" s="156" t="inlineStr">
        <is>
          <t>小椋　富美</t>
        </is>
      </c>
      <c r="E10" s="214" t="inlineStr">
        <is>
          <t>Ｂ</t>
        </is>
      </c>
      <c r="F10" s="153" t="inlineStr">
        <is>
          <t>Ｂ</t>
        </is>
      </c>
      <c r="G10" s="153" t="inlineStr">
        <is>
          <t>Ｂ</t>
        </is>
      </c>
      <c r="H10" s="159" t="inlineStr">
        <is>
          <t>Ｂ</t>
        </is>
      </c>
      <c r="I10" s="159" t="inlineStr">
        <is>
          <t>Ｄ</t>
        </is>
      </c>
      <c r="J10" s="153" t="inlineStr">
        <is>
          <t>Ｂ</t>
        </is>
      </c>
      <c r="K10" s="164" t="inlineStr">
        <is>
          <t>休</t>
        </is>
      </c>
      <c r="L10" s="164" t="inlineStr">
        <is>
          <t>夜</t>
        </is>
      </c>
      <c r="M10" s="153" t="inlineStr">
        <is>
          <t>明</t>
        </is>
      </c>
      <c r="N10" s="153" t="inlineStr">
        <is>
          <t>休</t>
        </is>
      </c>
      <c r="O10" s="159" t="inlineStr">
        <is>
          <t>休</t>
        </is>
      </c>
      <c r="P10" s="159" t="inlineStr">
        <is>
          <t>Ｂ</t>
        </is>
      </c>
      <c r="Q10" s="153" t="inlineStr">
        <is>
          <t>休</t>
        </is>
      </c>
      <c r="R10" s="153" t="inlineStr">
        <is>
          <t>夜</t>
        </is>
      </c>
      <c r="S10" s="159" t="inlineStr">
        <is>
          <t>明</t>
        </is>
      </c>
      <c r="T10" s="153" t="inlineStr">
        <is>
          <t>休</t>
        </is>
      </c>
      <c r="U10" s="153" t="inlineStr">
        <is>
          <t>Ｂ</t>
        </is>
      </c>
      <c r="V10" s="153" t="inlineStr">
        <is>
          <t>Ｄ</t>
        </is>
      </c>
      <c r="W10" s="159" t="inlineStr">
        <is>
          <t>休</t>
        </is>
      </c>
      <c r="X10" s="159" t="inlineStr">
        <is>
          <t>Ｂ</t>
        </is>
      </c>
      <c r="Y10" s="213" t="inlineStr">
        <is>
          <t>休</t>
        </is>
      </c>
      <c r="Z10" s="213" t="inlineStr">
        <is>
          <t>休</t>
        </is>
      </c>
      <c r="AA10" s="153" t="inlineStr">
        <is>
          <t>休</t>
        </is>
      </c>
      <c r="AB10" s="153" t="inlineStr">
        <is>
          <t>夜</t>
        </is>
      </c>
      <c r="AC10" s="159" t="inlineStr">
        <is>
          <t>明</t>
        </is>
      </c>
      <c r="AD10" s="159" t="inlineStr">
        <is>
          <t>休</t>
        </is>
      </c>
      <c r="AE10" s="153" t="inlineStr">
        <is>
          <t>夜</t>
        </is>
      </c>
      <c r="AF10" s="213" t="inlineStr">
        <is>
          <t>明</t>
        </is>
      </c>
      <c r="AG10" s="213" t="inlineStr">
        <is>
          <t>休</t>
        </is>
      </c>
      <c r="AH10" s="153" t="inlineStr">
        <is>
          <t>夜</t>
        </is>
      </c>
      <c r="AI10" s="157" t="inlineStr">
        <is>
          <t>明</t>
        </is>
      </c>
      <c r="AJ10" s="204" t="n"/>
      <c r="AK10" s="205">
        <f>COUNTIF($E10:$AI10,"A")</f>
        <v/>
      </c>
      <c r="AL10" s="205">
        <f>COUNTIF($E10:$AI10,"B")</f>
        <v/>
      </c>
      <c r="AM10" s="205">
        <f>COUNTIF($E10:$AI10,"D")</f>
        <v/>
      </c>
      <c r="AN10" s="205">
        <f>+COUNTIF($E10:$AI10,"E")</f>
        <v/>
      </c>
      <c r="AO10" s="205">
        <f>COUNTIF($E10:$AI10,"C")</f>
        <v/>
      </c>
      <c r="AP10" s="205">
        <f>COUNTIF($E10:$AI10,"夜")</f>
        <v/>
      </c>
      <c r="AQ10" s="205">
        <f>COUNTIF($E10:$AI10,"明")</f>
        <v/>
      </c>
      <c r="AR10" s="205">
        <f>COUNTIF($E10:$AI10,"研")+COUNTIF($E10:$AI10,"健")</f>
        <v/>
      </c>
      <c r="AS10" s="205">
        <f>COUNTIF($E10:$AI10,"調1")</f>
        <v/>
      </c>
      <c r="AT10" s="205">
        <f>COUNTIF($E10:$AI10,"調2")</f>
        <v/>
      </c>
      <c r="AU10" s="205">
        <f>COUNTIF($E10:$AI10,"有")</f>
        <v/>
      </c>
      <c r="AV10" s="205">
        <f>COUNTIF($E10:$AI10,"休")+COUNTIF($E10:$AI10,"希")</f>
        <v/>
      </c>
      <c r="AW10" s="206">
        <f>SUM(AK10:AU10)</f>
        <v/>
      </c>
      <c r="AX10" s="206" t="n"/>
      <c r="AY10" s="207">
        <f>IF($AY$3=2,IF(AV10=8,"OK","NG"),IF(AV10=9,"OK","NG"))</f>
        <v/>
      </c>
    </row>
    <row r="11" ht="36" customHeight="1" s="447">
      <c r="A11" s="200" t="n"/>
      <c r="B11" s="155" t="inlineStr">
        <is>
          <t>介護職員</t>
        </is>
      </c>
      <c r="C11" s="212" t="inlineStr">
        <is>
          <t>非常勤/専従</t>
        </is>
      </c>
      <c r="D11" s="156" t="inlineStr">
        <is>
          <t>吉玉　茂春</t>
        </is>
      </c>
      <c r="E11" s="210" t="inlineStr">
        <is>
          <t>休</t>
        </is>
      </c>
      <c r="F11" s="153" t="inlineStr">
        <is>
          <t>休</t>
        </is>
      </c>
      <c r="G11" s="153" t="inlineStr">
        <is>
          <t>休</t>
        </is>
      </c>
      <c r="H11" s="153" t="inlineStr">
        <is>
          <t>休</t>
        </is>
      </c>
      <c r="I11" s="153" t="inlineStr">
        <is>
          <t>休</t>
        </is>
      </c>
      <c r="J11" s="153" t="inlineStr">
        <is>
          <t>休</t>
        </is>
      </c>
      <c r="K11" s="153" t="inlineStr">
        <is>
          <t>休</t>
        </is>
      </c>
      <c r="L11" s="153" t="inlineStr">
        <is>
          <t>休</t>
        </is>
      </c>
      <c r="M11" s="153" t="inlineStr">
        <is>
          <t>休</t>
        </is>
      </c>
      <c r="N11" s="153" t="inlineStr">
        <is>
          <t>休</t>
        </is>
      </c>
      <c r="O11" s="153" t="inlineStr">
        <is>
          <t>休</t>
        </is>
      </c>
      <c r="P11" s="153" t="inlineStr">
        <is>
          <t>休</t>
        </is>
      </c>
      <c r="Q11" s="153" t="inlineStr">
        <is>
          <t>休</t>
        </is>
      </c>
      <c r="R11" s="153" t="inlineStr">
        <is>
          <t>休</t>
        </is>
      </c>
      <c r="S11" s="153" t="inlineStr">
        <is>
          <t>休</t>
        </is>
      </c>
      <c r="T11" s="153" t="inlineStr">
        <is>
          <t>休</t>
        </is>
      </c>
      <c r="U11" s="153" t="inlineStr">
        <is>
          <t>休</t>
        </is>
      </c>
      <c r="V11" s="153" t="inlineStr">
        <is>
          <t>休</t>
        </is>
      </c>
      <c r="W11" s="153" t="inlineStr">
        <is>
          <t>休</t>
        </is>
      </c>
      <c r="X11" s="153" t="inlineStr">
        <is>
          <t>休</t>
        </is>
      </c>
      <c r="Y11" s="153" t="inlineStr">
        <is>
          <t>休</t>
        </is>
      </c>
      <c r="Z11" s="153" t="inlineStr">
        <is>
          <t>休</t>
        </is>
      </c>
      <c r="AA11" s="153" t="inlineStr">
        <is>
          <t>休</t>
        </is>
      </c>
      <c r="AB11" s="153" t="inlineStr">
        <is>
          <t>休</t>
        </is>
      </c>
      <c r="AC11" s="153" t="inlineStr">
        <is>
          <t>休</t>
        </is>
      </c>
      <c r="AD11" s="153" t="inlineStr">
        <is>
          <t>休</t>
        </is>
      </c>
      <c r="AE11" s="153" t="inlineStr">
        <is>
          <t>休</t>
        </is>
      </c>
      <c r="AF11" s="153" t="inlineStr">
        <is>
          <t>休</t>
        </is>
      </c>
      <c r="AG11" s="153" t="inlineStr">
        <is>
          <t>休</t>
        </is>
      </c>
      <c r="AH11" s="153" t="inlineStr">
        <is>
          <t>休</t>
        </is>
      </c>
      <c r="AI11" s="158" t="inlineStr">
        <is>
          <t>休</t>
        </is>
      </c>
      <c r="AJ11" s="204" t="n"/>
      <c r="AK11" s="205">
        <f>COUNTIF($E11:$AI11,"A")</f>
        <v/>
      </c>
      <c r="AL11" s="205">
        <f>COUNTIF($E11:$AI11,"B")</f>
        <v/>
      </c>
      <c r="AM11" s="205">
        <f>COUNTIF($E11:$AI11,"D")</f>
        <v/>
      </c>
      <c r="AN11" s="205">
        <f>+COUNTIF($E11:$AI11,"E")</f>
        <v/>
      </c>
      <c r="AO11" s="205">
        <f>COUNTIF($E11:$AI11,"C")</f>
        <v/>
      </c>
      <c r="AP11" s="205">
        <f>COUNTIF($E11:$AI11,"夜")</f>
        <v/>
      </c>
      <c r="AQ11" s="205">
        <f>COUNTIF($E11:$AI11,"明")</f>
        <v/>
      </c>
      <c r="AR11" s="205">
        <f>COUNTIF($E11:$AI11,"研")+COUNTIF($E11:$AI11,"健")</f>
        <v/>
      </c>
      <c r="AS11" s="205">
        <f>COUNTIF($E11:$AI11,"調1")</f>
        <v/>
      </c>
      <c r="AT11" s="205">
        <f>COUNTIF($E11:$AI11,"調2")</f>
        <v/>
      </c>
      <c r="AU11" s="205">
        <f>COUNTIF($E11:$AI11,"有")</f>
        <v/>
      </c>
      <c r="AV11" s="205">
        <f>COUNTIF($E11:$AI11,"休")+COUNTIF($E11:$AI11,"希")</f>
        <v/>
      </c>
      <c r="AW11" s="206">
        <f>SUM(AK11:AU11)</f>
        <v/>
      </c>
      <c r="AX11" s="206" t="n"/>
      <c r="AY11" s="207">
        <f>IF($AY$3=2,IF(AV11=8,"OK","NG"),IF(AV11=9,"OK","NG"))</f>
        <v/>
      </c>
    </row>
    <row r="12" ht="36" customHeight="1" s="447">
      <c r="A12" s="200" t="n"/>
      <c r="B12" s="155" t="inlineStr">
        <is>
          <t>介護職員</t>
        </is>
      </c>
      <c r="C12" s="212" t="inlineStr">
        <is>
          <t>非常勤/専従</t>
        </is>
      </c>
      <c r="D12" s="163" t="inlineStr">
        <is>
          <t>佐藤　いそみ</t>
        </is>
      </c>
      <c r="E12" s="214" t="inlineStr">
        <is>
          <t>明</t>
        </is>
      </c>
      <c r="F12" s="159" t="inlineStr">
        <is>
          <t>休</t>
        </is>
      </c>
      <c r="G12" s="159" t="inlineStr">
        <is>
          <t>夜</t>
        </is>
      </c>
      <c r="H12" s="153" t="inlineStr">
        <is>
          <t>明</t>
        </is>
      </c>
      <c r="I12" s="153" t="inlineStr">
        <is>
          <t>休</t>
        </is>
      </c>
      <c r="J12" s="153" t="inlineStr">
        <is>
          <t>休</t>
        </is>
      </c>
      <c r="K12" s="153" t="inlineStr">
        <is>
          <t>休</t>
        </is>
      </c>
      <c r="L12" s="153" t="inlineStr">
        <is>
          <t>休</t>
        </is>
      </c>
      <c r="M12" s="153" t="inlineStr">
        <is>
          <t>休</t>
        </is>
      </c>
      <c r="N12" s="153" t="inlineStr">
        <is>
          <t>休</t>
        </is>
      </c>
      <c r="O12" s="153" t="inlineStr">
        <is>
          <t>夜</t>
        </is>
      </c>
      <c r="P12" s="153" t="inlineStr">
        <is>
          <t>明</t>
        </is>
      </c>
      <c r="Q12" s="153" t="inlineStr">
        <is>
          <t>休</t>
        </is>
      </c>
      <c r="R12" s="153" t="inlineStr">
        <is>
          <t>休</t>
        </is>
      </c>
      <c r="S12" s="153" t="inlineStr">
        <is>
          <t>休</t>
        </is>
      </c>
      <c r="T12" s="153" t="inlineStr">
        <is>
          <t>夜</t>
        </is>
      </c>
      <c r="U12" s="153" t="inlineStr">
        <is>
          <t>明</t>
        </is>
      </c>
      <c r="V12" s="153" t="inlineStr">
        <is>
          <t>休</t>
        </is>
      </c>
      <c r="W12" s="153" t="inlineStr">
        <is>
          <t>夜</t>
        </is>
      </c>
      <c r="X12" s="153" t="inlineStr">
        <is>
          <t>明</t>
        </is>
      </c>
      <c r="Y12" s="153" t="inlineStr">
        <is>
          <t>休</t>
        </is>
      </c>
      <c r="Z12" s="153" t="inlineStr">
        <is>
          <t>夜</t>
        </is>
      </c>
      <c r="AA12" s="153" t="inlineStr">
        <is>
          <t>明</t>
        </is>
      </c>
      <c r="AB12" s="153" t="inlineStr">
        <is>
          <t>休</t>
        </is>
      </c>
      <c r="AC12" s="153" t="inlineStr">
        <is>
          <t>夜</t>
        </is>
      </c>
      <c r="AD12" s="153" t="inlineStr">
        <is>
          <t>明</t>
        </is>
      </c>
      <c r="AE12" s="153" t="inlineStr">
        <is>
          <t>休</t>
        </is>
      </c>
      <c r="AF12" s="153" t="inlineStr">
        <is>
          <t>休</t>
        </is>
      </c>
      <c r="AG12" s="153" t="inlineStr">
        <is>
          <t>夜</t>
        </is>
      </c>
      <c r="AH12" s="213" t="inlineStr">
        <is>
          <t>明</t>
        </is>
      </c>
      <c r="AI12" s="213" t="inlineStr">
        <is>
          <t>休</t>
        </is>
      </c>
      <c r="AJ12" s="204" t="n"/>
      <c r="AK12" s="205">
        <f>COUNTIF($E12:$AI12,"A")</f>
        <v/>
      </c>
      <c r="AL12" s="205">
        <f>COUNTIF($E12:$AI12,"B")</f>
        <v/>
      </c>
      <c r="AM12" s="205">
        <f>COUNTIF($E12:$AI12,"D")</f>
        <v/>
      </c>
      <c r="AN12" s="205">
        <f>+COUNTIF($E12:$AI12,"E")</f>
        <v/>
      </c>
      <c r="AO12" s="205">
        <f>COUNTIF($E12:$AI12,"C")</f>
        <v/>
      </c>
      <c r="AP12" s="205">
        <f>COUNTIF($E12:$AI12,"夜")</f>
        <v/>
      </c>
      <c r="AQ12" s="205">
        <f>COUNTIF($E12:$AI12,"明")</f>
        <v/>
      </c>
      <c r="AR12" s="205">
        <f>COUNTIF($E12:$AI12,"研")+COUNTIF($E12:$AI12,"健")</f>
        <v/>
      </c>
      <c r="AS12" s="205">
        <f>COUNTIF($E12:$AI12,"調1")</f>
        <v/>
      </c>
      <c r="AT12" s="205">
        <f>COUNTIF($E12:$AI12,"調2")</f>
        <v/>
      </c>
      <c r="AU12" s="205">
        <f>COUNTIF($E12:$AI12,"有")</f>
        <v/>
      </c>
      <c r="AV12" s="205">
        <f>COUNTIF($E12:$AI12,"休")+COUNTIF($E12:$AI12,"希")</f>
        <v/>
      </c>
      <c r="AW12" s="206">
        <f>SUM(AK12:AU12)</f>
        <v/>
      </c>
      <c r="AX12" s="206" t="n"/>
      <c r="AY12" s="207">
        <f>IF($AY$3=2,IF(AV12=8,"OK","NG"),IF(AV12=9,"OK","NG"))</f>
        <v/>
      </c>
    </row>
    <row r="13" ht="36" customHeight="1" s="447">
      <c r="A13" s="200" t="n"/>
      <c r="B13" s="155" t="inlineStr">
        <is>
          <t>介護職員</t>
        </is>
      </c>
      <c r="C13" s="212" t="inlineStr">
        <is>
          <t>非常勤/専従</t>
        </is>
      </c>
      <c r="D13" s="163" t="inlineStr">
        <is>
          <t>松本　きくみ</t>
        </is>
      </c>
      <c r="E13" s="215" t="inlineStr">
        <is>
          <t>Ａ</t>
        </is>
      </c>
      <c r="F13" s="159" t="inlineStr">
        <is>
          <t>休</t>
        </is>
      </c>
      <c r="G13" s="159" t="inlineStr">
        <is>
          <t>休</t>
        </is>
      </c>
      <c r="H13" s="153" t="inlineStr">
        <is>
          <t>Ａ</t>
        </is>
      </c>
      <c r="I13" s="153" t="inlineStr">
        <is>
          <t>Ａ</t>
        </is>
      </c>
      <c r="J13" s="153" t="inlineStr">
        <is>
          <t>休</t>
        </is>
      </c>
      <c r="K13" s="153" t="inlineStr">
        <is>
          <t>夜</t>
        </is>
      </c>
      <c r="L13" s="153" t="inlineStr">
        <is>
          <t>明</t>
        </is>
      </c>
      <c r="M13" s="159" t="inlineStr">
        <is>
          <t>休</t>
        </is>
      </c>
      <c r="N13" s="153" t="inlineStr">
        <is>
          <t>夜</t>
        </is>
      </c>
      <c r="O13" s="153" t="inlineStr">
        <is>
          <t>明</t>
        </is>
      </c>
      <c r="P13" s="153" t="inlineStr">
        <is>
          <t>休</t>
        </is>
      </c>
      <c r="Q13" s="153" t="inlineStr">
        <is>
          <t>Ｄ</t>
        </is>
      </c>
      <c r="R13" s="153" t="inlineStr">
        <is>
          <t>Ｂ</t>
        </is>
      </c>
      <c r="S13" s="153" t="inlineStr">
        <is>
          <t>Ｂ</t>
        </is>
      </c>
      <c r="T13" s="153" t="inlineStr">
        <is>
          <t>休</t>
        </is>
      </c>
      <c r="U13" s="153" t="inlineStr">
        <is>
          <t>夜</t>
        </is>
      </c>
      <c r="V13" s="153" t="inlineStr">
        <is>
          <t>明</t>
        </is>
      </c>
      <c r="W13" s="153" t="inlineStr">
        <is>
          <t>休</t>
        </is>
      </c>
      <c r="X13" s="153" t="inlineStr">
        <is>
          <t>休</t>
        </is>
      </c>
      <c r="Y13" s="213" t="inlineStr">
        <is>
          <t>夜</t>
        </is>
      </c>
      <c r="Z13" s="153" t="inlineStr">
        <is>
          <t>明</t>
        </is>
      </c>
      <c r="AA13" s="153" t="inlineStr">
        <is>
          <t>Ａ</t>
        </is>
      </c>
      <c r="AB13" s="153" t="inlineStr">
        <is>
          <t>Ｃ</t>
        </is>
      </c>
      <c r="AC13" s="153" t="inlineStr">
        <is>
          <t>Ｃ</t>
        </is>
      </c>
      <c r="AD13" s="153" t="inlineStr">
        <is>
          <t>休</t>
        </is>
      </c>
      <c r="AE13" s="153" t="inlineStr">
        <is>
          <t>Ｄ</t>
        </is>
      </c>
      <c r="AF13" s="153" t="inlineStr">
        <is>
          <t>Ｄ</t>
        </is>
      </c>
      <c r="AG13" s="153" t="inlineStr">
        <is>
          <t>Ａ</t>
        </is>
      </c>
      <c r="AH13" s="153" t="inlineStr">
        <is>
          <t>Ａ</t>
        </is>
      </c>
      <c r="AI13" s="216" t="inlineStr">
        <is>
          <t>Ｄ</t>
        </is>
      </c>
      <c r="AJ13" s="204" t="n"/>
      <c r="AK13" s="205">
        <f>COUNTIF($E13:$AI13,"A")</f>
        <v/>
      </c>
      <c r="AL13" s="205">
        <f>COUNTIF($E13:$AI13,"B")</f>
        <v/>
      </c>
      <c r="AM13" s="205">
        <f>COUNTIF($E13:$AI13,"D")</f>
        <v/>
      </c>
      <c r="AN13" s="205">
        <f>+COUNTIF($E13:$AI13,"E")</f>
        <v/>
      </c>
      <c r="AO13" s="205">
        <f>COUNTIF($E13:$AI13,"C")</f>
        <v/>
      </c>
      <c r="AP13" s="205">
        <f>COUNTIF($E13:$AI13,"夜")</f>
        <v/>
      </c>
      <c r="AQ13" s="205">
        <f>COUNTIF($E13:$AI13,"明")</f>
        <v/>
      </c>
      <c r="AR13" s="205">
        <f>COUNTIF($E13:$AI13,"研")+COUNTIF($E13:$AI13,"健")</f>
        <v/>
      </c>
      <c r="AS13" s="205">
        <f>COUNTIF($E13:$AI13,"調1")</f>
        <v/>
      </c>
      <c r="AT13" s="205">
        <f>COUNTIF($E13:$AI13,"調2")</f>
        <v/>
      </c>
      <c r="AU13" s="205">
        <f>COUNTIF($E13:$AI13,"有")</f>
        <v/>
      </c>
      <c r="AV13" s="205">
        <f>COUNTIF($E13:$AI13,"休")+COUNTIF($E13:$AI13,"希")</f>
        <v/>
      </c>
      <c r="AW13" s="206">
        <f>SUM(AK13:AU13)</f>
        <v/>
      </c>
      <c r="AX13" s="206" t="n"/>
      <c r="AY13" s="207">
        <f>IF($AY$3=2,IF(AV13=8,"OK","NG"),IF(AV13=9,"OK","NG"))</f>
        <v/>
      </c>
    </row>
    <row r="14" ht="35.25" customHeight="1" s="447">
      <c r="A14" s="200" t="n"/>
      <c r="B14" s="155" t="inlineStr">
        <is>
          <t>介護職員</t>
        </is>
      </c>
      <c r="C14" s="212" t="inlineStr">
        <is>
          <t>非常勤/兼任</t>
        </is>
      </c>
      <c r="D14" s="156" t="inlineStr">
        <is>
          <t>甲斐　裕美子</t>
        </is>
      </c>
      <c r="E14" s="153" t="inlineStr">
        <is>
          <t>休</t>
        </is>
      </c>
      <c r="F14" s="153" t="inlineStr">
        <is>
          <t>休</t>
        </is>
      </c>
      <c r="G14" s="153" t="inlineStr">
        <is>
          <t>休</t>
        </is>
      </c>
      <c r="H14" s="153" t="inlineStr">
        <is>
          <t>休</t>
        </is>
      </c>
      <c r="I14" s="153" t="inlineStr">
        <is>
          <t>Ｃ</t>
        </is>
      </c>
      <c r="J14" s="153" t="inlineStr">
        <is>
          <t>Ｃ</t>
        </is>
      </c>
      <c r="K14" s="153" t="inlineStr">
        <is>
          <t>休</t>
        </is>
      </c>
      <c r="L14" s="153" t="inlineStr">
        <is>
          <t>休</t>
        </is>
      </c>
      <c r="M14" s="153" t="inlineStr">
        <is>
          <t>休</t>
        </is>
      </c>
      <c r="N14" s="213" t="inlineStr">
        <is>
          <t>休</t>
        </is>
      </c>
      <c r="O14" s="153" t="inlineStr">
        <is>
          <t>休</t>
        </is>
      </c>
      <c r="P14" s="153" t="inlineStr">
        <is>
          <t>Ａ</t>
        </is>
      </c>
      <c r="Q14" s="153" t="inlineStr">
        <is>
          <t>Ｃ</t>
        </is>
      </c>
      <c r="R14" s="161" t="inlineStr">
        <is>
          <t>休</t>
        </is>
      </c>
      <c r="S14" s="153" t="inlineStr">
        <is>
          <t>Ａ</t>
        </is>
      </c>
      <c r="T14" s="153" t="inlineStr">
        <is>
          <t>Ｃ</t>
        </is>
      </c>
      <c r="U14" s="213" t="inlineStr">
        <is>
          <t>休</t>
        </is>
      </c>
      <c r="V14" s="153" t="inlineStr">
        <is>
          <t>休</t>
        </is>
      </c>
      <c r="W14" s="213" t="inlineStr">
        <is>
          <t>Ｃ</t>
        </is>
      </c>
      <c r="X14" s="153" t="inlineStr">
        <is>
          <t>休</t>
        </is>
      </c>
      <c r="Y14" s="153" t="inlineStr">
        <is>
          <t>休</t>
        </is>
      </c>
      <c r="Z14" s="153" t="inlineStr">
        <is>
          <t>Ａ</t>
        </is>
      </c>
      <c r="AA14" s="153" t="inlineStr">
        <is>
          <t>休</t>
        </is>
      </c>
      <c r="AB14" s="153" t="inlineStr">
        <is>
          <t>休</t>
        </is>
      </c>
      <c r="AC14" s="153" t="inlineStr">
        <is>
          <t>休</t>
        </is>
      </c>
      <c r="AD14" s="153" t="inlineStr">
        <is>
          <t>休</t>
        </is>
      </c>
      <c r="AE14" s="153" t="inlineStr">
        <is>
          <t>Ｃ</t>
        </is>
      </c>
      <c r="AF14" s="213" t="inlineStr">
        <is>
          <t>Ｃ</t>
        </is>
      </c>
      <c r="AG14" s="153" t="inlineStr">
        <is>
          <t>Ｃ</t>
        </is>
      </c>
      <c r="AH14" s="153" t="inlineStr">
        <is>
          <t>休</t>
        </is>
      </c>
      <c r="AI14" s="157" t="inlineStr">
        <is>
          <t>休</t>
        </is>
      </c>
      <c r="AJ14" s="204" t="n"/>
      <c r="AK14" s="205">
        <f>COUNTIF($E14:$AI14,"A")</f>
        <v/>
      </c>
      <c r="AL14" s="205">
        <f>COUNTIF($E14:$AI14,"B")</f>
        <v/>
      </c>
      <c r="AM14" s="205">
        <f>COUNTIF($E14:$AI14,"D")</f>
        <v/>
      </c>
      <c r="AN14" s="205">
        <f>+COUNTIF($E14:$AI14,"E")</f>
        <v/>
      </c>
      <c r="AO14" s="205">
        <f>COUNTIF($E14:$AI14,"C")</f>
        <v/>
      </c>
      <c r="AP14" s="205">
        <f>COUNTIF($E14:$AI14,"夜")</f>
        <v/>
      </c>
      <c r="AQ14" s="205">
        <f>COUNTIF($E14:$AI14,"明")</f>
        <v/>
      </c>
      <c r="AR14" s="205">
        <f>COUNTIF($E14:$AI14,"研")+COUNTIF($E14:$AI14,"健")</f>
        <v/>
      </c>
      <c r="AS14" s="205">
        <f>COUNTIF($E14:$AI14,"調1")</f>
        <v/>
      </c>
      <c r="AT14" s="205">
        <f>COUNTIF($E14:$AI14,"調2")</f>
        <v/>
      </c>
      <c r="AU14" s="205">
        <f>COUNTIF($E14:$AI14,"有")</f>
        <v/>
      </c>
      <c r="AV14" s="205">
        <f>COUNTIF($E14:$AI14,"休")+COUNTIF($E14:$AI14,"希")</f>
        <v/>
      </c>
      <c r="AW14" s="206">
        <f>SUM(AK14:AU14)</f>
        <v/>
      </c>
      <c r="AX14" s="206" t="n"/>
      <c r="AY14" s="207">
        <f>IF($AY$3=2,IF(AV14=8,"OK","NG"),IF(AV14=9,"OK","NG"))</f>
        <v/>
      </c>
    </row>
    <row r="15" ht="35.25" customHeight="1" s="447">
      <c r="A15" s="200" t="n"/>
      <c r="B15" s="155" t="inlineStr">
        <is>
          <t>介護職員</t>
        </is>
      </c>
      <c r="C15" s="212" t="inlineStr">
        <is>
          <t>非常勤/専従</t>
        </is>
      </c>
      <c r="D15" s="163" t="inlineStr">
        <is>
          <t>辰見　イツ子</t>
        </is>
      </c>
      <c r="E15" s="210" t="inlineStr">
        <is>
          <t>休</t>
        </is>
      </c>
      <c r="F15" s="153" t="inlineStr">
        <is>
          <t>Ｃ</t>
        </is>
      </c>
      <c r="G15" s="153" t="inlineStr">
        <is>
          <t>休</t>
        </is>
      </c>
      <c r="H15" s="153" t="inlineStr">
        <is>
          <t>休</t>
        </is>
      </c>
      <c r="I15" s="153" t="inlineStr">
        <is>
          <t>休</t>
        </is>
      </c>
      <c r="J15" s="153" t="inlineStr">
        <is>
          <t>休</t>
        </is>
      </c>
      <c r="K15" s="153" t="inlineStr">
        <is>
          <t>休</t>
        </is>
      </c>
      <c r="L15" s="153" t="inlineStr">
        <is>
          <t>Ａ</t>
        </is>
      </c>
      <c r="M15" s="153" t="inlineStr">
        <is>
          <t>Ａ</t>
        </is>
      </c>
      <c r="N15" s="153" t="inlineStr">
        <is>
          <t>Ｃ</t>
        </is>
      </c>
      <c r="O15" s="153" t="inlineStr">
        <is>
          <t>Ｃ</t>
        </is>
      </c>
      <c r="P15" s="153" t="inlineStr">
        <is>
          <t>休</t>
        </is>
      </c>
      <c r="Q15" s="161" t="inlineStr">
        <is>
          <t>休</t>
        </is>
      </c>
      <c r="R15" s="153" t="inlineStr">
        <is>
          <t>Ａ</t>
        </is>
      </c>
      <c r="S15" s="153" t="inlineStr">
        <is>
          <t>Ｃ</t>
        </is>
      </c>
      <c r="T15" s="153" t="inlineStr">
        <is>
          <t>休</t>
        </is>
      </c>
      <c r="U15" s="153" t="inlineStr">
        <is>
          <t>Ｃ</t>
        </is>
      </c>
      <c r="V15" s="153" t="inlineStr">
        <is>
          <t>休</t>
        </is>
      </c>
      <c r="W15" s="153" t="inlineStr">
        <is>
          <t>休</t>
        </is>
      </c>
      <c r="X15" s="161" t="inlineStr">
        <is>
          <t>休</t>
        </is>
      </c>
      <c r="Y15" s="213" t="inlineStr">
        <is>
          <t>Ｃ</t>
        </is>
      </c>
      <c r="Z15" s="213" t="inlineStr">
        <is>
          <t>休</t>
        </is>
      </c>
      <c r="AA15" s="153" t="inlineStr">
        <is>
          <t>Ｃ</t>
        </is>
      </c>
      <c r="AB15" s="153" t="inlineStr">
        <is>
          <t>休</t>
        </is>
      </c>
      <c r="AC15" s="153" t="inlineStr">
        <is>
          <t>休</t>
        </is>
      </c>
      <c r="AD15" s="153" t="inlineStr">
        <is>
          <t>Ｃ</t>
        </is>
      </c>
      <c r="AE15" s="161" t="inlineStr">
        <is>
          <t>休</t>
        </is>
      </c>
      <c r="AF15" s="153" t="inlineStr">
        <is>
          <t>休</t>
        </is>
      </c>
      <c r="AG15" s="153" t="inlineStr">
        <is>
          <t>休</t>
        </is>
      </c>
      <c r="AH15" s="153" t="inlineStr">
        <is>
          <t>休</t>
        </is>
      </c>
      <c r="AI15" s="160" t="inlineStr">
        <is>
          <t>Ｃ</t>
        </is>
      </c>
      <c r="AJ15" s="204" t="n"/>
      <c r="AK15" s="205">
        <f>COUNTIF($E15:$AI15,"A")</f>
        <v/>
      </c>
      <c r="AL15" s="205">
        <f>COUNTIF($E15:$AI15,"B")</f>
        <v/>
      </c>
      <c r="AM15" s="205">
        <f>COUNTIF($E15:$AI15,"D")</f>
        <v/>
      </c>
      <c r="AN15" s="205">
        <f>+COUNTIF($E15:$AI15,"E")</f>
        <v/>
      </c>
      <c r="AO15" s="205">
        <f>COUNTIF($E15:$AI15,"C")</f>
        <v/>
      </c>
      <c r="AP15" s="205">
        <f>COUNTIF($E15:$AI15,"夜")</f>
        <v/>
      </c>
      <c r="AQ15" s="205">
        <f>COUNTIF($E15:$AI15,"明")</f>
        <v/>
      </c>
      <c r="AR15" s="205">
        <f>COUNTIF($E15:$AI15,"研")+COUNTIF($E15:$AI15,"健")</f>
        <v/>
      </c>
      <c r="AS15" s="205">
        <f>COUNTIF($E15:$AI15,"調1")</f>
        <v/>
      </c>
      <c r="AT15" s="205">
        <f>COUNTIF($E15:$AI15,"調2")</f>
        <v/>
      </c>
      <c r="AU15" s="205">
        <f>COUNTIF($E15:$AI15,"有")</f>
        <v/>
      </c>
      <c r="AV15" s="205">
        <f>COUNTIF($E15:$AI15,"休")+COUNTIF($E15:$AI15,"希")</f>
        <v/>
      </c>
      <c r="AW15" s="206">
        <f>SUM(AK15:AU15)</f>
        <v/>
      </c>
      <c r="AX15" s="206" t="n"/>
      <c r="AY15" s="207">
        <f>IF($AY$3=2,IF(AV15=8,"OK","NG"),IF(AV15=9,"OK","NG"))</f>
        <v/>
      </c>
    </row>
    <row r="16" ht="35.25" customHeight="1" s="447">
      <c r="A16" s="200" t="n"/>
      <c r="B16" s="155" t="inlineStr">
        <is>
          <t>介護職員</t>
        </is>
      </c>
      <c r="C16" s="212" t="inlineStr">
        <is>
          <t>非常勤/専従</t>
        </is>
      </c>
      <c r="D16" s="163" t="inlineStr">
        <is>
          <t>甲斐　静幸</t>
        </is>
      </c>
      <c r="E16" s="217" t="inlineStr">
        <is>
          <t>Ｃ</t>
        </is>
      </c>
      <c r="F16" s="153" t="inlineStr">
        <is>
          <t>休</t>
        </is>
      </c>
      <c r="G16" s="153" t="inlineStr">
        <is>
          <t>Ｃ</t>
        </is>
      </c>
      <c r="H16" s="153" t="inlineStr">
        <is>
          <t>Ｃ</t>
        </is>
      </c>
      <c r="I16" s="153" t="inlineStr">
        <is>
          <t>休</t>
        </is>
      </c>
      <c r="J16" s="153" t="inlineStr">
        <is>
          <t>休</t>
        </is>
      </c>
      <c r="K16" s="153" t="inlineStr">
        <is>
          <t>Ｃ</t>
        </is>
      </c>
      <c r="L16" s="153" t="inlineStr">
        <is>
          <t>Ｃ</t>
        </is>
      </c>
      <c r="M16" s="153" t="inlineStr">
        <is>
          <t>Ｃ</t>
        </is>
      </c>
      <c r="N16" s="153" t="inlineStr">
        <is>
          <t>休</t>
        </is>
      </c>
      <c r="O16" s="161" t="inlineStr">
        <is>
          <t>休</t>
        </is>
      </c>
      <c r="P16" s="153" t="inlineStr">
        <is>
          <t>Ｃ</t>
        </is>
      </c>
      <c r="Q16" s="153" t="inlineStr">
        <is>
          <t>休</t>
        </is>
      </c>
      <c r="R16" s="161" t="inlineStr">
        <is>
          <t>Ｃ</t>
        </is>
      </c>
      <c r="S16" s="153" t="inlineStr">
        <is>
          <t>休</t>
        </is>
      </c>
      <c r="T16" s="153" t="inlineStr">
        <is>
          <t>休</t>
        </is>
      </c>
      <c r="U16" s="153" t="inlineStr">
        <is>
          <t>休</t>
        </is>
      </c>
      <c r="V16" s="161" t="inlineStr">
        <is>
          <t>Ｃ</t>
        </is>
      </c>
      <c r="W16" s="153" t="inlineStr">
        <is>
          <t>休</t>
        </is>
      </c>
      <c r="X16" s="153" t="inlineStr">
        <is>
          <t>Ｃ</t>
        </is>
      </c>
      <c r="Y16" s="161" t="inlineStr">
        <is>
          <t>休</t>
        </is>
      </c>
      <c r="Z16" s="153" t="inlineStr">
        <is>
          <t>Ｃ</t>
        </is>
      </c>
      <c r="AA16" s="153" t="inlineStr">
        <is>
          <t>休</t>
        </is>
      </c>
      <c r="AB16" s="153" t="inlineStr">
        <is>
          <t>休</t>
        </is>
      </c>
      <c r="AC16" s="218" t="inlineStr">
        <is>
          <t>休</t>
        </is>
      </c>
      <c r="AD16" s="153" t="inlineStr">
        <is>
          <t>休</t>
        </is>
      </c>
      <c r="AE16" s="153" t="inlineStr">
        <is>
          <t>休</t>
        </is>
      </c>
      <c r="AF16" s="153" t="inlineStr">
        <is>
          <t>休</t>
        </is>
      </c>
      <c r="AG16" s="153" t="inlineStr">
        <is>
          <t>休</t>
        </is>
      </c>
      <c r="AH16" s="161" t="inlineStr">
        <is>
          <t>Ｃ</t>
        </is>
      </c>
      <c r="AI16" s="219" t="inlineStr">
        <is>
          <t>休</t>
        </is>
      </c>
      <c r="AJ16" s="204" t="n"/>
      <c r="AK16" s="205">
        <f>COUNTIF($E16:$AI16,"A")</f>
        <v/>
      </c>
      <c r="AL16" s="205">
        <f>COUNTIF($E16:$AI16,"B")</f>
        <v/>
      </c>
      <c r="AM16" s="205">
        <f>COUNTIF($E16:$AI16,"D")</f>
        <v/>
      </c>
      <c r="AN16" s="205">
        <f>+COUNTIF($E16:$AI16,"E")</f>
        <v/>
      </c>
      <c r="AO16" s="205">
        <f>COUNTIF($E16:$AI16,"C")</f>
        <v/>
      </c>
      <c r="AP16" s="205">
        <f>COUNTIF($E16:$AI16,"夜")</f>
        <v/>
      </c>
      <c r="AQ16" s="205">
        <f>COUNTIF($E16:$AI16,"明")</f>
        <v/>
      </c>
      <c r="AR16" s="205">
        <f>COUNTIF($E16:$AI16,"研")+COUNTIF($E16:$AI16,"健")</f>
        <v/>
      </c>
      <c r="AS16" s="205">
        <f>COUNTIF($E16:$AI16,"調1")</f>
        <v/>
      </c>
      <c r="AT16" s="205">
        <f>COUNTIF($E16:$AI16,"調2")</f>
        <v/>
      </c>
      <c r="AU16" s="205">
        <f>COUNTIF($E16:$AI16,"有")</f>
        <v/>
      </c>
      <c r="AV16" s="205">
        <f>COUNTIF($E16:$AI16,"休")+COUNTIF($E16:$AI16,"希")</f>
        <v/>
      </c>
      <c r="AW16" s="206">
        <f>SUM(AK16:AU16)</f>
        <v/>
      </c>
      <c r="AX16" s="206" t="n"/>
      <c r="AY16" s="207">
        <f>IF($AY$3=2,IF(AV16=8,"OK","NG"),IF(AV16=9,"OK","NG"))</f>
        <v/>
      </c>
    </row>
    <row r="17" ht="35.25" customHeight="1" s="447">
      <c r="A17" s="200" t="n"/>
      <c r="B17" s="155" t="inlineStr">
        <is>
          <t>介護職員</t>
        </is>
      </c>
      <c r="C17" s="212" t="inlineStr">
        <is>
          <t>常勤/兼任</t>
        </is>
      </c>
      <c r="D17" s="156" t="inlineStr">
        <is>
          <t>渡邊　哲也</t>
        </is>
      </c>
      <c r="E17" s="210" t="inlineStr">
        <is>
          <t>休</t>
        </is>
      </c>
      <c r="F17" s="161" t="inlineStr">
        <is>
          <t>休</t>
        </is>
      </c>
      <c r="G17" s="159" t="inlineStr">
        <is>
          <t>休</t>
        </is>
      </c>
      <c r="H17" s="159" t="inlineStr">
        <is>
          <t>休</t>
        </is>
      </c>
      <c r="I17" s="153" t="inlineStr">
        <is>
          <t>休</t>
        </is>
      </c>
      <c r="J17" s="164" t="inlineStr">
        <is>
          <t>休</t>
        </is>
      </c>
      <c r="K17" s="164" t="inlineStr">
        <is>
          <t>休</t>
        </is>
      </c>
      <c r="L17" s="213" t="inlineStr">
        <is>
          <t>休</t>
        </is>
      </c>
      <c r="M17" s="153" t="inlineStr">
        <is>
          <t>休</t>
        </is>
      </c>
      <c r="N17" s="161" t="inlineStr">
        <is>
          <t>休</t>
        </is>
      </c>
      <c r="O17" s="161" t="inlineStr">
        <is>
          <t>休</t>
        </is>
      </c>
      <c r="P17" s="161" t="inlineStr">
        <is>
          <t>休</t>
        </is>
      </c>
      <c r="Q17" s="164" t="inlineStr">
        <is>
          <t>休</t>
        </is>
      </c>
      <c r="R17" s="164" t="inlineStr">
        <is>
          <t>休</t>
        </is>
      </c>
      <c r="S17" s="153" t="inlineStr">
        <is>
          <t>休</t>
        </is>
      </c>
      <c r="T17" s="153" t="inlineStr">
        <is>
          <t>休</t>
        </is>
      </c>
      <c r="U17" s="161" t="inlineStr">
        <is>
          <t>休</t>
        </is>
      </c>
      <c r="V17" s="161" t="inlineStr">
        <is>
          <t>休</t>
        </is>
      </c>
      <c r="W17" s="161" t="inlineStr">
        <is>
          <t>休</t>
        </is>
      </c>
      <c r="X17" s="164" t="inlineStr">
        <is>
          <t>休</t>
        </is>
      </c>
      <c r="Y17" s="164" t="inlineStr">
        <is>
          <t>休</t>
        </is>
      </c>
      <c r="Z17" s="213" t="inlineStr">
        <is>
          <t>休</t>
        </is>
      </c>
      <c r="AA17" s="153" t="inlineStr">
        <is>
          <t>休</t>
        </is>
      </c>
      <c r="AB17" s="161" t="inlineStr">
        <is>
          <t>休</t>
        </is>
      </c>
      <c r="AC17" s="161" t="inlineStr">
        <is>
          <t>休</t>
        </is>
      </c>
      <c r="AD17" s="161" t="inlineStr">
        <is>
          <t>休</t>
        </is>
      </c>
      <c r="AE17" s="164" t="inlineStr">
        <is>
          <t>休</t>
        </is>
      </c>
      <c r="AF17" s="164" t="inlineStr">
        <is>
          <t>休</t>
        </is>
      </c>
      <c r="AG17" s="164" t="inlineStr">
        <is>
          <t>休</t>
        </is>
      </c>
      <c r="AH17" s="153" t="inlineStr">
        <is>
          <t>休</t>
        </is>
      </c>
      <c r="AI17" s="157" t="inlineStr">
        <is>
          <t>休</t>
        </is>
      </c>
      <c r="AJ17" s="204" t="n"/>
      <c r="AK17" s="205">
        <f>COUNTIF($E17:$AI17,"A")</f>
        <v/>
      </c>
      <c r="AL17" s="205">
        <f>COUNTIF($E17:$AI17,"B")</f>
        <v/>
      </c>
      <c r="AM17" s="205">
        <f>COUNTIF($E17:$AI17,"D")</f>
        <v/>
      </c>
      <c r="AN17" s="205">
        <f>+COUNTIF($E17:$AI17,"E")</f>
        <v/>
      </c>
      <c r="AO17" s="205">
        <f>COUNTIF($E17:$AI17,"C")</f>
        <v/>
      </c>
      <c r="AP17" s="205">
        <f>COUNTIF($E17:$AI17,"夜")</f>
        <v/>
      </c>
      <c r="AQ17" s="205">
        <f>COUNTIF($E17:$AI17,"明")</f>
        <v/>
      </c>
      <c r="AR17" s="205">
        <f>COUNTIF($E17:$AI17,"研")+COUNTIF($E17:$AI17,"健")</f>
        <v/>
      </c>
      <c r="AS17" s="205">
        <f>COUNTIF($E17:$AI17,"調1")</f>
        <v/>
      </c>
      <c r="AT17" s="205">
        <f>COUNTIF($E17:$AI17,"調2")</f>
        <v/>
      </c>
      <c r="AU17" s="205">
        <f>COUNTIF($E17:$AI17,"有")</f>
        <v/>
      </c>
      <c r="AV17" s="205">
        <f>COUNTIF($E17:$AI17,"休")+COUNTIF($E17:$AI17,"希")</f>
        <v/>
      </c>
      <c r="AW17" s="206">
        <f>SUM(AK17:AU17)</f>
        <v/>
      </c>
      <c r="AX17" s="206" t="n"/>
      <c r="AY17" s="207">
        <f>IF($AY$3=2,IF(AV17=8,"OK","NG"),IF(AV17=9,"OK","NG"))</f>
        <v/>
      </c>
    </row>
    <row r="18" ht="35.25" customHeight="1" s="447">
      <c r="A18" s="200" t="n"/>
      <c r="B18" s="155" t="inlineStr">
        <is>
          <t>計画作成担当者</t>
        </is>
      </c>
      <c r="C18" s="212" t="inlineStr">
        <is>
          <t>常勤/兼任</t>
        </is>
      </c>
      <c r="D18" s="156" t="inlineStr">
        <is>
          <t>渡邊　哲也</t>
        </is>
      </c>
      <c r="E18" s="210" t="inlineStr">
        <is>
          <t>Ｅ</t>
        </is>
      </c>
      <c r="F18" s="153" t="inlineStr">
        <is>
          <t>Ｅ</t>
        </is>
      </c>
      <c r="G18" s="153" t="inlineStr">
        <is>
          <t>休</t>
        </is>
      </c>
      <c r="H18" s="153" t="inlineStr">
        <is>
          <t>Ｅ</t>
        </is>
      </c>
      <c r="I18" s="153" t="inlineStr">
        <is>
          <t>Ｅ</t>
        </is>
      </c>
      <c r="J18" s="153" t="inlineStr">
        <is>
          <t>Ｅ</t>
        </is>
      </c>
      <c r="K18" s="153" t="inlineStr">
        <is>
          <t>休</t>
        </is>
      </c>
      <c r="L18" s="153" t="inlineStr">
        <is>
          <t>Ｅ</t>
        </is>
      </c>
      <c r="M18" s="153" t="inlineStr">
        <is>
          <t>Ｅ</t>
        </is>
      </c>
      <c r="N18" s="153" t="inlineStr">
        <is>
          <t>休</t>
        </is>
      </c>
      <c r="O18" s="153" t="inlineStr">
        <is>
          <t>Ｅ</t>
        </is>
      </c>
      <c r="P18" s="153" t="inlineStr">
        <is>
          <t>Ｅ</t>
        </is>
      </c>
      <c r="Q18" s="153" t="inlineStr">
        <is>
          <t>休</t>
        </is>
      </c>
      <c r="R18" s="153" t="inlineStr">
        <is>
          <t>休</t>
        </is>
      </c>
      <c r="S18" s="153" t="inlineStr">
        <is>
          <t>休</t>
        </is>
      </c>
      <c r="T18" s="153" t="inlineStr">
        <is>
          <t>Ｅ</t>
        </is>
      </c>
      <c r="U18" s="153" t="inlineStr">
        <is>
          <t>Ｅ</t>
        </is>
      </c>
      <c r="V18" s="153" t="inlineStr">
        <is>
          <t>Ｅ</t>
        </is>
      </c>
      <c r="W18" s="153" t="inlineStr">
        <is>
          <t>休</t>
        </is>
      </c>
      <c r="X18" s="153" t="inlineStr">
        <is>
          <t>Ｅ</t>
        </is>
      </c>
      <c r="Y18" s="153" t="inlineStr">
        <is>
          <t>Ｅ</t>
        </is>
      </c>
      <c r="Z18" s="153" t="inlineStr">
        <is>
          <t>Ｅ</t>
        </is>
      </c>
      <c r="AA18" s="153" t="inlineStr">
        <is>
          <t>Ｅ</t>
        </is>
      </c>
      <c r="AB18" s="153" t="inlineStr">
        <is>
          <t>休</t>
        </is>
      </c>
      <c r="AC18" s="153" t="inlineStr">
        <is>
          <t>休</t>
        </is>
      </c>
      <c r="AD18" s="153" t="inlineStr">
        <is>
          <t>Ｅ</t>
        </is>
      </c>
      <c r="AE18" s="153" t="inlineStr">
        <is>
          <t>Ｅ</t>
        </is>
      </c>
      <c r="AF18" s="153" t="inlineStr">
        <is>
          <t>Ｅ</t>
        </is>
      </c>
      <c r="AG18" s="153" t="inlineStr">
        <is>
          <t>Ｅ</t>
        </is>
      </c>
      <c r="AH18" s="153" t="inlineStr">
        <is>
          <t>Ｅ</t>
        </is>
      </c>
      <c r="AI18" s="157" t="inlineStr">
        <is>
          <t>Ｅ</t>
        </is>
      </c>
      <c r="AJ18" s="204" t="n"/>
      <c r="AK18" s="205">
        <f>COUNTIF($E18:$AI18,"A")</f>
        <v/>
      </c>
      <c r="AL18" s="205">
        <f>COUNTIF($E18:$AI18,"B")</f>
        <v/>
      </c>
      <c r="AM18" s="205">
        <f>COUNTIF($E18:$AI18,"D")</f>
        <v/>
      </c>
      <c r="AN18" s="205">
        <f>+COUNTIF($E18:$AI18,"E")</f>
        <v/>
      </c>
      <c r="AO18" s="205">
        <f>COUNTIF($E18:$AI18,"C")</f>
        <v/>
      </c>
      <c r="AP18" s="205">
        <f>COUNTIF($E18:$AI18,"夜")</f>
        <v/>
      </c>
      <c r="AQ18" s="205">
        <f>COUNTIF($E18:$AI18,"明")</f>
        <v/>
      </c>
      <c r="AR18" s="205">
        <f>COUNTIF($E18:$AI18,"研")+COUNTIF($E18:$AI18,"健")</f>
        <v/>
      </c>
      <c r="AS18" s="205">
        <f>COUNTIF($E18:$AI18,"調1")</f>
        <v/>
      </c>
      <c r="AT18" s="205">
        <f>COUNTIF($E18:$AI18,"調2")</f>
        <v/>
      </c>
      <c r="AU18" s="205">
        <f>COUNTIF($E18:$AI18,"有")</f>
        <v/>
      </c>
      <c r="AV18" s="205">
        <f>COUNTIF($E18:$AI18,"休")+COUNTIF($E18:$AI18,"希")</f>
        <v/>
      </c>
      <c r="AW18" s="206">
        <f>SUM(AK18:AU18)</f>
        <v/>
      </c>
      <c r="AX18" s="206" t="n"/>
      <c r="AY18" s="207">
        <f>IF($AY$3=2,IF(AV18=8,"OK","NG"),IF(AV18=9,"OK","NG"))</f>
        <v/>
      </c>
    </row>
    <row r="19" ht="35.25" customHeight="1" s="447">
      <c r="A19" s="200" t="n"/>
      <c r="B19" s="155" t="inlineStr">
        <is>
          <t>機能訓練指導員</t>
        </is>
      </c>
      <c r="C19" s="212" t="inlineStr">
        <is>
          <t>常勤/専従</t>
        </is>
      </c>
      <c r="D19" s="163" t="inlineStr">
        <is>
          <t>甲斐　充代</t>
        </is>
      </c>
      <c r="E19" s="220" t="inlineStr">
        <is>
          <t>Ｄ</t>
        </is>
      </c>
      <c r="F19" s="161" t="inlineStr">
        <is>
          <t>Ｄ</t>
        </is>
      </c>
      <c r="G19" s="153" t="inlineStr">
        <is>
          <t>休</t>
        </is>
      </c>
      <c r="H19" s="153" t="inlineStr">
        <is>
          <t>休</t>
        </is>
      </c>
      <c r="I19" s="153" t="inlineStr">
        <is>
          <t>休</t>
        </is>
      </c>
      <c r="J19" s="213" t="inlineStr">
        <is>
          <t>Ａ</t>
        </is>
      </c>
      <c r="K19" s="153" t="inlineStr">
        <is>
          <t>Ｄ</t>
        </is>
      </c>
      <c r="L19" s="153" t="inlineStr">
        <is>
          <t>Ｂ</t>
        </is>
      </c>
      <c r="M19" s="153" t="inlineStr">
        <is>
          <t>Ｂ</t>
        </is>
      </c>
      <c r="N19" s="153" t="inlineStr">
        <is>
          <t>Ａ</t>
        </is>
      </c>
      <c r="O19" s="153" t="inlineStr">
        <is>
          <t>Ａ</t>
        </is>
      </c>
      <c r="P19" s="153" t="inlineStr">
        <is>
          <t>休</t>
        </is>
      </c>
      <c r="Q19" s="213" t="inlineStr">
        <is>
          <t>Ｂ</t>
        </is>
      </c>
      <c r="R19" s="153" t="inlineStr">
        <is>
          <t>Ｄ</t>
        </is>
      </c>
      <c r="S19" s="153" t="inlineStr">
        <is>
          <t>休</t>
        </is>
      </c>
      <c r="T19" s="153" t="inlineStr">
        <is>
          <t>Ｄ</t>
        </is>
      </c>
      <c r="U19" s="153" t="inlineStr">
        <is>
          <t>休</t>
        </is>
      </c>
      <c r="V19" s="153" t="inlineStr">
        <is>
          <t>Ａ</t>
        </is>
      </c>
      <c r="W19" s="153" t="inlineStr">
        <is>
          <t>Ａ</t>
        </is>
      </c>
      <c r="X19" s="213" t="inlineStr">
        <is>
          <t>Ｄ</t>
        </is>
      </c>
      <c r="Y19" s="153" t="inlineStr">
        <is>
          <t>Ｂ</t>
        </is>
      </c>
      <c r="Z19" s="153" t="inlineStr">
        <is>
          <t>Ｄ</t>
        </is>
      </c>
      <c r="AA19" s="153" t="inlineStr">
        <is>
          <t>Ｂ</t>
        </is>
      </c>
      <c r="AB19" s="153" t="inlineStr">
        <is>
          <t>休</t>
        </is>
      </c>
      <c r="AC19" s="153" t="inlineStr">
        <is>
          <t>Ｄ</t>
        </is>
      </c>
      <c r="AD19" s="153" t="inlineStr">
        <is>
          <t>Ａ</t>
        </is>
      </c>
      <c r="AE19" s="153" t="inlineStr">
        <is>
          <t>Ａ</t>
        </is>
      </c>
      <c r="AF19" s="153" t="inlineStr">
        <is>
          <t>休</t>
        </is>
      </c>
      <c r="AG19" s="153" t="inlineStr">
        <is>
          <t>Ｄ</t>
        </is>
      </c>
      <c r="AH19" s="153" t="inlineStr">
        <is>
          <t>休</t>
        </is>
      </c>
      <c r="AI19" s="157" t="inlineStr">
        <is>
          <t>Ｂ</t>
        </is>
      </c>
      <c r="AJ19" s="204" t="n"/>
      <c r="AK19" s="205">
        <f>COUNTIF($E19:$AI19,"A")</f>
        <v/>
      </c>
      <c r="AL19" s="205">
        <f>COUNTIF($E19:$AI19,"B")</f>
        <v/>
      </c>
      <c r="AM19" s="205">
        <f>COUNTIF($E19:$AI19,"D")</f>
        <v/>
      </c>
      <c r="AN19" s="205">
        <f>+COUNTIF($E19:$AI19,"E")</f>
        <v/>
      </c>
      <c r="AO19" s="205">
        <f>COUNTIF($E19:$AI19,"C")</f>
        <v/>
      </c>
      <c r="AP19" s="205">
        <f>COUNTIF($E19:$AI19,"夜")</f>
        <v/>
      </c>
      <c r="AQ19" s="205">
        <f>COUNTIF($E19:$AI19,"明")</f>
        <v/>
      </c>
      <c r="AR19" s="205">
        <f>COUNTIF($E19:$AI19,"研")+COUNTIF($E19:$AI19,"健")</f>
        <v/>
      </c>
      <c r="AS19" s="205">
        <f>COUNTIF($E19:$AI19,"調1")</f>
        <v/>
      </c>
      <c r="AT19" s="205">
        <f>COUNTIF($E19:$AI19,"調2")</f>
        <v/>
      </c>
      <c r="AU19" s="205">
        <f>COUNTIF($E19:$AI19,"有")</f>
        <v/>
      </c>
      <c r="AV19" s="205">
        <f>COUNTIF($E19:$AI19,"休")+COUNTIF($E19:$AI19,"希")</f>
        <v/>
      </c>
      <c r="AW19" s="206">
        <f>SUM(AK19:AU19)</f>
        <v/>
      </c>
      <c r="AX19" s="206" t="n"/>
      <c r="AY19" s="207">
        <f>IF($AY$3=2,IF(AV19=8,"OK","NG"),IF(AV19=9,"OK","NG"))</f>
        <v/>
      </c>
    </row>
    <row r="20" ht="35.25" customHeight="1" s="447">
      <c r="A20" s="200" t="n"/>
      <c r="B20" s="155" t="inlineStr">
        <is>
          <t>生活相談員</t>
        </is>
      </c>
      <c r="C20" s="212" t="inlineStr">
        <is>
          <t>常勤/専従</t>
        </is>
      </c>
      <c r="D20" s="163" t="inlineStr">
        <is>
          <t>田上　元美</t>
        </is>
      </c>
      <c r="E20" s="217" t="inlineStr">
        <is>
          <t>休</t>
        </is>
      </c>
      <c r="F20" s="161" t="inlineStr">
        <is>
          <t>Ａ</t>
        </is>
      </c>
      <c r="G20" s="153" t="inlineStr">
        <is>
          <t>Ｄ</t>
        </is>
      </c>
      <c r="H20" s="213" t="inlineStr">
        <is>
          <t>Ｄ</t>
        </is>
      </c>
      <c r="I20" s="213" t="inlineStr">
        <is>
          <t>Ｂ</t>
        </is>
      </c>
      <c r="J20" s="153" t="inlineStr">
        <is>
          <t>Ｄ</t>
        </is>
      </c>
      <c r="K20" s="153" t="inlineStr">
        <is>
          <t>Ａ</t>
        </is>
      </c>
      <c r="L20" s="213" t="inlineStr">
        <is>
          <t>休</t>
        </is>
      </c>
      <c r="M20" s="153" t="inlineStr">
        <is>
          <t>休</t>
        </is>
      </c>
      <c r="N20" s="153" t="inlineStr">
        <is>
          <t>Ｄ</t>
        </is>
      </c>
      <c r="O20" s="153" t="inlineStr">
        <is>
          <t>Ｂ</t>
        </is>
      </c>
      <c r="P20" s="164" t="inlineStr">
        <is>
          <t>Ｄ</t>
        </is>
      </c>
      <c r="Q20" s="153" t="inlineStr">
        <is>
          <t>Ａ</t>
        </is>
      </c>
      <c r="R20" s="153" t="inlineStr">
        <is>
          <t>休</t>
        </is>
      </c>
      <c r="S20" s="153" t="inlineStr">
        <is>
          <t>Ｄ</t>
        </is>
      </c>
      <c r="T20" s="153" t="inlineStr">
        <is>
          <t>Ａ</t>
        </is>
      </c>
      <c r="U20" s="153" t="inlineStr">
        <is>
          <t>Ｄ</t>
        </is>
      </c>
      <c r="V20" s="153" t="inlineStr">
        <is>
          <t>Ｂ</t>
        </is>
      </c>
      <c r="W20" s="153" t="inlineStr">
        <is>
          <t>Ｂ</t>
        </is>
      </c>
      <c r="X20" s="161" t="inlineStr">
        <is>
          <t>Ａ</t>
        </is>
      </c>
      <c r="Y20" s="153" t="inlineStr">
        <is>
          <t>休</t>
        </is>
      </c>
      <c r="Z20" s="153" t="inlineStr">
        <is>
          <t>休</t>
        </is>
      </c>
      <c r="AA20" s="153" t="inlineStr">
        <is>
          <t>休</t>
        </is>
      </c>
      <c r="AB20" s="153" t="inlineStr">
        <is>
          <t>Ｂ</t>
        </is>
      </c>
      <c r="AC20" s="153" t="inlineStr">
        <is>
          <t>Ａ</t>
        </is>
      </c>
      <c r="AD20" s="164" t="inlineStr">
        <is>
          <t>Ｄ</t>
        </is>
      </c>
      <c r="AE20" s="213" t="inlineStr">
        <is>
          <t>Ｂ</t>
        </is>
      </c>
      <c r="AF20" s="153" t="inlineStr">
        <is>
          <t>Ｂ</t>
        </is>
      </c>
      <c r="AG20" s="153" t="inlineStr">
        <is>
          <t>休</t>
        </is>
      </c>
      <c r="AH20" s="153" t="inlineStr">
        <is>
          <t>Ｂ</t>
        </is>
      </c>
      <c r="AI20" s="153" t="inlineStr">
        <is>
          <t>休</t>
        </is>
      </c>
      <c r="AJ20" s="204" t="n"/>
      <c r="AK20" s="205">
        <f>COUNTIF($E20:$AI20,"A")</f>
        <v/>
      </c>
      <c r="AL20" s="205">
        <f>COUNTIF($E20:$AI20,"B")</f>
        <v/>
      </c>
      <c r="AM20" s="205">
        <f>COUNTIF($E20:$AI20,"D")</f>
        <v/>
      </c>
      <c r="AN20" s="205">
        <f>+COUNTIF($E20:$AI20,"E")</f>
        <v/>
      </c>
      <c r="AO20" s="205">
        <f>COUNTIF($E20:$AI20,"C")</f>
        <v/>
      </c>
      <c r="AP20" s="205">
        <f>COUNTIF($E20:$AI20,"夜")</f>
        <v/>
      </c>
      <c r="AQ20" s="205">
        <f>COUNTIF($E20:$AI20,"明")</f>
        <v/>
      </c>
      <c r="AR20" s="205">
        <f>COUNTIF($E20:$AI20,"研")+COUNTIF($E20:$AI20,"健")</f>
        <v/>
      </c>
      <c r="AS20" s="205">
        <f>COUNTIF($E20:$AI20,"調1")</f>
        <v/>
      </c>
      <c r="AT20" s="205">
        <f>COUNTIF($E20:$AI20,"調2")</f>
        <v/>
      </c>
      <c r="AU20" s="205">
        <f>COUNTIF($E20:$AI20,"有")</f>
        <v/>
      </c>
      <c r="AV20" s="205">
        <f>COUNTIF($E20:$AI20,"休")+COUNTIF($E20:$AI20,"希")</f>
        <v/>
      </c>
      <c r="AW20" s="206">
        <f>SUM(AK20:AU20)</f>
        <v/>
      </c>
      <c r="AX20" s="206" t="n"/>
      <c r="AY20" s="207">
        <f>IF($AY$3=2,IF(AV20=8,"OK","NG"),IF(AV20=9,"OK","NG"))</f>
        <v/>
      </c>
    </row>
    <row r="21" ht="35.25" customHeight="1" s="447">
      <c r="A21" s="200" t="n"/>
      <c r="B21" s="155" t="inlineStr">
        <is>
          <t>看護職員</t>
        </is>
      </c>
      <c r="C21" s="212" t="inlineStr">
        <is>
          <t>常勤/専従</t>
        </is>
      </c>
      <c r="D21" s="163" t="inlineStr">
        <is>
          <t>甲斐　千代美</t>
        </is>
      </c>
      <c r="E21" s="210" t="inlineStr">
        <is>
          <t>Ｅ</t>
        </is>
      </c>
      <c r="F21" s="153" t="inlineStr">
        <is>
          <t>有</t>
        </is>
      </c>
      <c r="G21" s="153" t="inlineStr">
        <is>
          <t>休</t>
        </is>
      </c>
      <c r="H21" s="153" t="inlineStr">
        <is>
          <t>Ｅ</t>
        </is>
      </c>
      <c r="I21" s="153" t="inlineStr">
        <is>
          <t>Ｅ</t>
        </is>
      </c>
      <c r="J21" s="153" t="inlineStr">
        <is>
          <t>Ｅ</t>
        </is>
      </c>
      <c r="K21" s="153" t="inlineStr">
        <is>
          <t>Ｅ</t>
        </is>
      </c>
      <c r="L21" s="153" t="inlineStr">
        <is>
          <t>Ｅ</t>
        </is>
      </c>
      <c r="M21" s="153" t="inlineStr">
        <is>
          <t>休</t>
        </is>
      </c>
      <c r="N21" s="153" t="inlineStr">
        <is>
          <t>休</t>
        </is>
      </c>
      <c r="O21" s="153" t="inlineStr">
        <is>
          <t>Ｅ</t>
        </is>
      </c>
      <c r="P21" s="153" t="inlineStr">
        <is>
          <t>Ｅ</t>
        </is>
      </c>
      <c r="Q21" s="153" t="inlineStr">
        <is>
          <t>Ｅ</t>
        </is>
      </c>
      <c r="R21" s="153" t="inlineStr">
        <is>
          <t>Ｅ</t>
        </is>
      </c>
      <c r="S21" s="153" t="inlineStr">
        <is>
          <t>Ｅ</t>
        </is>
      </c>
      <c r="T21" s="153" t="inlineStr">
        <is>
          <t>休</t>
        </is>
      </c>
      <c r="U21" s="153" t="inlineStr">
        <is>
          <t>休</t>
        </is>
      </c>
      <c r="V21" s="153" t="inlineStr">
        <is>
          <t>Ｅ</t>
        </is>
      </c>
      <c r="W21" s="153" t="inlineStr">
        <is>
          <t>Ｅ</t>
        </is>
      </c>
      <c r="X21" s="153" t="inlineStr">
        <is>
          <t>Ｅ</t>
        </is>
      </c>
      <c r="Y21" s="153" t="inlineStr">
        <is>
          <t>Ｅ</t>
        </is>
      </c>
      <c r="Z21" s="153" t="inlineStr">
        <is>
          <t>Ｅ</t>
        </is>
      </c>
      <c r="AA21" s="153" t="inlineStr">
        <is>
          <t>休</t>
        </is>
      </c>
      <c r="AB21" s="153" t="inlineStr">
        <is>
          <t>休</t>
        </is>
      </c>
      <c r="AC21" s="153" t="inlineStr">
        <is>
          <t>Ｅ</t>
        </is>
      </c>
      <c r="AD21" s="153" t="inlineStr">
        <is>
          <t>Ｅ</t>
        </is>
      </c>
      <c r="AE21" s="153" t="inlineStr">
        <is>
          <t>Ｅ</t>
        </is>
      </c>
      <c r="AF21" s="153" t="inlineStr">
        <is>
          <t>Ｅ</t>
        </is>
      </c>
      <c r="AG21" s="153" t="inlineStr">
        <is>
          <t>Ｅ</t>
        </is>
      </c>
      <c r="AH21" s="153" t="inlineStr">
        <is>
          <t>休</t>
        </is>
      </c>
      <c r="AI21" s="153" t="inlineStr">
        <is>
          <t>休</t>
        </is>
      </c>
      <c r="AJ21" s="204" t="n"/>
      <c r="AK21" s="205">
        <f>COUNTIF($E21:$AI21,"A")</f>
        <v/>
      </c>
      <c r="AL21" s="205">
        <f>COUNTIF($E21:$AI21,"B")</f>
        <v/>
      </c>
      <c r="AM21" s="205">
        <f>COUNTIF($E21:$AI21,"D")</f>
        <v/>
      </c>
      <c r="AN21" s="205">
        <f>+COUNTIF($E21:$AI21,"E")</f>
        <v/>
      </c>
      <c r="AO21" s="205">
        <f>COUNTIF($E21:$AI21,"C")</f>
        <v/>
      </c>
      <c r="AP21" s="205">
        <f>COUNTIF($E21:$AI21,"夜")</f>
        <v/>
      </c>
      <c r="AQ21" s="205">
        <f>COUNTIF($E21:$AI21,"明")</f>
        <v/>
      </c>
      <c r="AR21" s="205">
        <f>COUNTIF($E21:$AI21,"研")+COUNTIF($E21:$AI21,"健")</f>
        <v/>
      </c>
      <c r="AS21" s="205">
        <f>COUNTIF($E21:$AI21,"調1")</f>
        <v/>
      </c>
      <c r="AT21" s="205">
        <f>COUNTIF($E21:$AI21,"調2")</f>
        <v/>
      </c>
      <c r="AU21" s="205">
        <f>COUNTIF($E21:$AI21,"有")</f>
        <v/>
      </c>
      <c r="AV21" s="205">
        <f>COUNTIF($E21:$AI21,"休")+COUNTIF($E21:$AI21,"希")</f>
        <v/>
      </c>
      <c r="AW21" s="206">
        <f>SUM(AK21:AU21)</f>
        <v/>
      </c>
      <c r="AX21" s="206" t="n"/>
      <c r="AY21" s="207">
        <f>IF($AY$3=2,IF(AV21=8,"OK","NG"),IF(AV21=9,"OK","NG"))</f>
        <v/>
      </c>
    </row>
    <row r="22" ht="35.25" customHeight="1" s="447" thickBot="1">
      <c r="A22" s="200" t="n"/>
      <c r="B22" s="165" t="inlineStr">
        <is>
          <t>事務職員</t>
        </is>
      </c>
      <c r="C22" s="221" t="inlineStr">
        <is>
          <t>非常勤/専従</t>
        </is>
      </c>
      <c r="D22" s="166" t="inlineStr">
        <is>
          <t>椎葉　玲子</t>
        </is>
      </c>
      <c r="E22" s="222" t="inlineStr">
        <is>
          <t>Ｅ</t>
        </is>
      </c>
      <c r="F22" s="158" t="inlineStr">
        <is>
          <t>休</t>
        </is>
      </c>
      <c r="G22" s="158" t="inlineStr">
        <is>
          <t>休</t>
        </is>
      </c>
      <c r="H22" s="158" t="inlineStr">
        <is>
          <t>Ｅ</t>
        </is>
      </c>
      <c r="I22" s="158" t="inlineStr">
        <is>
          <t>Ｅ</t>
        </is>
      </c>
      <c r="J22" s="158" t="inlineStr">
        <is>
          <t>Ｅ</t>
        </is>
      </c>
      <c r="K22" s="158" t="inlineStr">
        <is>
          <t>Ｅ</t>
        </is>
      </c>
      <c r="L22" s="158" t="inlineStr">
        <is>
          <t>Ｅ</t>
        </is>
      </c>
      <c r="M22" s="158" t="inlineStr">
        <is>
          <t>休</t>
        </is>
      </c>
      <c r="N22" s="158" t="inlineStr">
        <is>
          <t>休</t>
        </is>
      </c>
      <c r="O22" s="158" t="inlineStr">
        <is>
          <t>Ｅ</t>
        </is>
      </c>
      <c r="P22" s="158" t="inlineStr">
        <is>
          <t>Ｅ</t>
        </is>
      </c>
      <c r="Q22" s="158" t="inlineStr">
        <is>
          <t>Ｅ</t>
        </is>
      </c>
      <c r="R22" s="158" t="inlineStr">
        <is>
          <t>Ｅ</t>
        </is>
      </c>
      <c r="S22" s="158" t="inlineStr">
        <is>
          <t>Ｅ</t>
        </is>
      </c>
      <c r="T22" s="158" t="inlineStr">
        <is>
          <t>休</t>
        </is>
      </c>
      <c r="U22" s="158" t="inlineStr">
        <is>
          <t>休</t>
        </is>
      </c>
      <c r="V22" s="158" t="inlineStr">
        <is>
          <t>Ｅ</t>
        </is>
      </c>
      <c r="W22" s="158" t="inlineStr">
        <is>
          <t>Ｅ</t>
        </is>
      </c>
      <c r="X22" s="158" t="inlineStr">
        <is>
          <t>Ｅ</t>
        </is>
      </c>
      <c r="Y22" s="158" t="inlineStr">
        <is>
          <t>Ｅ</t>
        </is>
      </c>
      <c r="Z22" s="158" t="inlineStr">
        <is>
          <t>休</t>
        </is>
      </c>
      <c r="AA22" s="158" t="inlineStr">
        <is>
          <t>休</t>
        </is>
      </c>
      <c r="AB22" s="158" t="inlineStr">
        <is>
          <t>休</t>
        </is>
      </c>
      <c r="AC22" s="158" t="inlineStr">
        <is>
          <t>休</t>
        </is>
      </c>
      <c r="AD22" s="158" t="inlineStr">
        <is>
          <t>休</t>
        </is>
      </c>
      <c r="AE22" s="158" t="inlineStr">
        <is>
          <t>休</t>
        </is>
      </c>
      <c r="AF22" s="158" t="inlineStr">
        <is>
          <t>休</t>
        </is>
      </c>
      <c r="AG22" s="158" t="inlineStr">
        <is>
          <t>休</t>
        </is>
      </c>
      <c r="AH22" s="158" t="inlineStr">
        <is>
          <t>休</t>
        </is>
      </c>
      <c r="AI22" s="157" t="inlineStr">
        <is>
          <t>休</t>
        </is>
      </c>
      <c r="AJ22" s="204" t="n"/>
      <c r="AK22" s="205">
        <f>COUNTIF($E22:$AI22,"A")</f>
        <v/>
      </c>
      <c r="AL22" s="205">
        <f>COUNTIF($E22:$AI22,"B")</f>
        <v/>
      </c>
      <c r="AM22" s="205">
        <f>COUNTIF($E22:$AI22,"D")</f>
        <v/>
      </c>
      <c r="AN22" s="205">
        <f>+COUNTIF($E22:$AI22,"E")</f>
        <v/>
      </c>
      <c r="AO22" s="205">
        <f>COUNTIF($E22:$AI22,"C")</f>
        <v/>
      </c>
      <c r="AP22" s="205">
        <f>COUNTIF($E22:$AI22,"夜")</f>
        <v/>
      </c>
      <c r="AQ22" s="205">
        <f>COUNTIF($E22:$AI22,"明")</f>
        <v/>
      </c>
      <c r="AR22" s="205">
        <f>COUNTIF($E22:$AI22,"研")+COUNTIF($E22:$AI22,"健")</f>
        <v/>
      </c>
      <c r="AS22" s="205">
        <f>COUNTIF($E22:$AI22,"調1")</f>
        <v/>
      </c>
      <c r="AT22" s="205">
        <f>COUNTIF($E22:$AI22,"調2")</f>
        <v/>
      </c>
      <c r="AU22" s="205">
        <f>COUNTIF($E22:$AI22,"有")</f>
        <v/>
      </c>
      <c r="AV22" s="205">
        <f>COUNTIF($E22:$AI22,"休")+COUNTIF($E22:$AI22,"希")</f>
        <v/>
      </c>
      <c r="AW22" s="206">
        <f>SUM(AK22:AU22)</f>
        <v/>
      </c>
      <c r="AX22" s="206" t="n"/>
      <c r="AY22" s="207">
        <f>IF($AY$3=2,IF(AV22=8,"OK","NG"),IF(AV22=9,"OK","NG"))</f>
        <v/>
      </c>
    </row>
    <row r="23" ht="35.25" customHeight="1" s="447">
      <c r="A23" s="200" t="n"/>
      <c r="B23" s="151" t="inlineStr">
        <is>
          <t>調理職員</t>
        </is>
      </c>
      <c r="C23" s="201" t="inlineStr">
        <is>
          <t>常勤/専従</t>
        </is>
      </c>
      <c r="D23" s="152" t="inlineStr">
        <is>
          <t>堀  カズ子</t>
        </is>
      </c>
      <c r="E23" s="223" t="inlineStr">
        <is>
          <t>休</t>
        </is>
      </c>
      <c r="F23" s="224" t="inlineStr">
        <is>
          <t>調1</t>
        </is>
      </c>
      <c r="G23" s="224" t="inlineStr">
        <is>
          <t>調1</t>
        </is>
      </c>
      <c r="H23" s="224" t="inlineStr">
        <is>
          <t>調1</t>
        </is>
      </c>
      <c r="I23" s="224" t="inlineStr">
        <is>
          <t>調1</t>
        </is>
      </c>
      <c r="J23" s="224" t="inlineStr">
        <is>
          <t>調1</t>
        </is>
      </c>
      <c r="K23" s="224" t="inlineStr">
        <is>
          <t>調1</t>
        </is>
      </c>
      <c r="L23" s="224" t="inlineStr">
        <is>
          <t>休</t>
        </is>
      </c>
      <c r="M23" s="224" t="inlineStr">
        <is>
          <t>調1</t>
        </is>
      </c>
      <c r="N23" s="224" t="inlineStr">
        <is>
          <t>調1</t>
        </is>
      </c>
      <c r="O23" s="224" t="inlineStr">
        <is>
          <t>調1</t>
        </is>
      </c>
      <c r="P23" s="224" t="inlineStr">
        <is>
          <t>調1</t>
        </is>
      </c>
      <c r="Q23" s="224" t="inlineStr">
        <is>
          <t>調1</t>
        </is>
      </c>
      <c r="R23" s="224" t="inlineStr">
        <is>
          <t>調1</t>
        </is>
      </c>
      <c r="S23" s="224" t="inlineStr">
        <is>
          <t>休</t>
        </is>
      </c>
      <c r="T23" s="224" t="inlineStr">
        <is>
          <t>調1</t>
        </is>
      </c>
      <c r="U23" s="224" t="inlineStr">
        <is>
          <t>調1</t>
        </is>
      </c>
      <c r="V23" s="224" t="inlineStr">
        <is>
          <t>調1</t>
        </is>
      </c>
      <c r="W23" s="224" t="inlineStr">
        <is>
          <t>調1</t>
        </is>
      </c>
      <c r="X23" s="224" t="inlineStr">
        <is>
          <t>調1</t>
        </is>
      </c>
      <c r="Y23" s="224" t="inlineStr">
        <is>
          <t>調1</t>
        </is>
      </c>
      <c r="Z23" s="224" t="inlineStr">
        <is>
          <t>休</t>
        </is>
      </c>
      <c r="AA23" s="224" t="inlineStr">
        <is>
          <t>調1</t>
        </is>
      </c>
      <c r="AB23" s="224" t="inlineStr">
        <is>
          <t>調1</t>
        </is>
      </c>
      <c r="AC23" s="224" t="inlineStr">
        <is>
          <t>調1</t>
        </is>
      </c>
      <c r="AD23" s="224" t="inlineStr">
        <is>
          <t>調1</t>
        </is>
      </c>
      <c r="AE23" s="224" t="inlineStr">
        <is>
          <t>調1</t>
        </is>
      </c>
      <c r="AF23" s="224" t="inlineStr">
        <is>
          <t>調1</t>
        </is>
      </c>
      <c r="AG23" s="224" t="inlineStr">
        <is>
          <t>休</t>
        </is>
      </c>
      <c r="AH23" s="224" t="inlineStr">
        <is>
          <t>調1</t>
        </is>
      </c>
      <c r="AI23" s="225" t="inlineStr">
        <is>
          <t>調1</t>
        </is>
      </c>
      <c r="AJ23" s="226" t="n"/>
      <c r="AK23" s="205">
        <f>COUNTIF($E23:$AI23,"A")</f>
        <v/>
      </c>
      <c r="AL23" s="205">
        <f>COUNTIF($E23:$AI23,"B")</f>
        <v/>
      </c>
      <c r="AM23" s="205">
        <f>COUNTIF($E23:$AI23,"D")</f>
        <v/>
      </c>
      <c r="AN23" s="205">
        <f>+COUNTIF($E23:$AI23,"E")</f>
        <v/>
      </c>
      <c r="AO23" s="205">
        <f>COUNTIF($E23:$AI23,"C")</f>
        <v/>
      </c>
      <c r="AP23" s="205">
        <f>COUNTIF($E23:$AI23,"夜")</f>
        <v/>
      </c>
      <c r="AQ23" s="205">
        <f>COUNTIF($E23:$AI23,"明")</f>
        <v/>
      </c>
      <c r="AR23" s="205">
        <f>COUNTIF($E23:$AI23,"研")+COUNTIF($E23:$AI23,"健")</f>
        <v/>
      </c>
      <c r="AS23" s="205">
        <f>COUNTIF($E23:$AI23,"調1")</f>
        <v/>
      </c>
      <c r="AT23" s="205">
        <f>COUNTIF($E23:$AI23,"調2")</f>
        <v/>
      </c>
      <c r="AU23" s="205">
        <f>COUNTIF($E23:$AI23,"有")</f>
        <v/>
      </c>
      <c r="AV23" s="205">
        <f>COUNTIF($E23:$AI23,"休")+COUNTIF($E23:$AI23,"希")</f>
        <v/>
      </c>
      <c r="AW23" s="206">
        <f>SUM(AK23:AU23)</f>
        <v/>
      </c>
      <c r="AX23" s="206" t="n"/>
      <c r="AY23" s="207">
        <f>IF($AY$3=2,IF(AV23=8,"OK","NG"),IF(AV23=9,"OK","NG"))</f>
        <v/>
      </c>
    </row>
    <row r="24" ht="35.25" customHeight="1" s="447">
      <c r="B24" s="155" t="inlineStr">
        <is>
          <t>調理職員</t>
        </is>
      </c>
      <c r="C24" s="212" t="inlineStr">
        <is>
          <t>常勤/専従</t>
        </is>
      </c>
      <c r="D24" s="156" t="inlineStr">
        <is>
          <t>町　　倫子</t>
        </is>
      </c>
      <c r="E24" s="227" t="inlineStr">
        <is>
          <t>調1</t>
        </is>
      </c>
      <c r="F24" s="227" t="inlineStr">
        <is>
          <t>休</t>
        </is>
      </c>
      <c r="G24" s="227" t="inlineStr">
        <is>
          <t>休</t>
        </is>
      </c>
      <c r="H24" s="227" t="inlineStr">
        <is>
          <t>休</t>
        </is>
      </c>
      <c r="I24" s="227" t="inlineStr">
        <is>
          <t>休</t>
        </is>
      </c>
      <c r="J24" s="227" t="inlineStr">
        <is>
          <t>調2</t>
        </is>
      </c>
      <c r="K24" s="227" t="inlineStr">
        <is>
          <t>調2</t>
        </is>
      </c>
      <c r="L24" s="227" t="inlineStr">
        <is>
          <t>調1</t>
        </is>
      </c>
      <c r="M24" s="227" t="inlineStr">
        <is>
          <t>休</t>
        </is>
      </c>
      <c r="N24" s="227" t="inlineStr">
        <is>
          <t>休</t>
        </is>
      </c>
      <c r="O24" s="227" t="inlineStr">
        <is>
          <t>休</t>
        </is>
      </c>
      <c r="P24" s="227" t="inlineStr">
        <is>
          <t>休</t>
        </is>
      </c>
      <c r="Q24" s="227" t="inlineStr">
        <is>
          <t>調2</t>
        </is>
      </c>
      <c r="R24" s="227" t="inlineStr">
        <is>
          <t>調2</t>
        </is>
      </c>
      <c r="S24" s="227" t="inlineStr">
        <is>
          <t>調1</t>
        </is>
      </c>
      <c r="T24" s="227" t="inlineStr">
        <is>
          <t>休</t>
        </is>
      </c>
      <c r="U24" s="227" t="inlineStr">
        <is>
          <t>休</t>
        </is>
      </c>
      <c r="V24" s="227" t="inlineStr">
        <is>
          <t>休</t>
        </is>
      </c>
      <c r="W24" s="227" t="inlineStr">
        <is>
          <t>休</t>
        </is>
      </c>
      <c r="X24" s="227" t="inlineStr">
        <is>
          <t>調2</t>
        </is>
      </c>
      <c r="Y24" s="227" t="inlineStr">
        <is>
          <t>調2</t>
        </is>
      </c>
      <c r="Z24" s="227" t="inlineStr">
        <is>
          <t>調1</t>
        </is>
      </c>
      <c r="AA24" s="227" t="inlineStr">
        <is>
          <t>休</t>
        </is>
      </c>
      <c r="AB24" s="227" t="inlineStr">
        <is>
          <t>休</t>
        </is>
      </c>
      <c r="AC24" s="227" t="inlineStr">
        <is>
          <t>休</t>
        </is>
      </c>
      <c r="AD24" s="227" t="inlineStr">
        <is>
          <t>休</t>
        </is>
      </c>
      <c r="AE24" s="227" t="inlineStr">
        <is>
          <t>調2</t>
        </is>
      </c>
      <c r="AF24" s="227" t="inlineStr">
        <is>
          <t>調2</t>
        </is>
      </c>
      <c r="AG24" s="227" t="inlineStr">
        <is>
          <t>調1</t>
        </is>
      </c>
      <c r="AH24" s="227" t="inlineStr">
        <is>
          <t>休</t>
        </is>
      </c>
      <c r="AI24" s="228" t="inlineStr">
        <is>
          <t>休</t>
        </is>
      </c>
      <c r="AJ24" s="226" t="n"/>
      <c r="AK24" s="205">
        <f>COUNTIF($E24:$AI24,"A")</f>
        <v/>
      </c>
      <c r="AL24" s="205">
        <f>COUNTIF($E24:$AI24,"B")</f>
        <v/>
      </c>
      <c r="AM24" s="205">
        <f>COUNTIF($E24:$AI24,"D")</f>
        <v/>
      </c>
      <c r="AN24" s="205">
        <f>+COUNTIF($E24:$AI24,"E")</f>
        <v/>
      </c>
      <c r="AO24" s="205">
        <f>COUNTIF($E24:$AI24,"C")</f>
        <v/>
      </c>
      <c r="AP24" s="205">
        <f>COUNTIF($E24:$AI24,"夜")</f>
        <v/>
      </c>
      <c r="AQ24" s="205">
        <f>COUNTIF($E24:$AI24,"明")</f>
        <v/>
      </c>
      <c r="AR24" s="205">
        <f>COUNTIF($E24:$AI24,"研")+COUNTIF($E24:$AI24,"健")</f>
        <v/>
      </c>
      <c r="AS24" s="205">
        <f>COUNTIF($E24:$AI24,"調1")</f>
        <v/>
      </c>
      <c r="AT24" s="205">
        <f>COUNTIF($E24:$AI24,"調2")</f>
        <v/>
      </c>
      <c r="AU24" s="205">
        <f>COUNTIF($E24:$AI24,"有")</f>
        <v/>
      </c>
      <c r="AV24" s="205">
        <f>COUNTIF($E24:$AI24,"休")+COUNTIF($E24:$AI24,"希")</f>
        <v/>
      </c>
      <c r="AW24" s="206">
        <f>SUM(AK24:AU24)</f>
        <v/>
      </c>
      <c r="AX24" s="206" t="n"/>
      <c r="AY24" s="207">
        <f>IF($AY$3=2,IF(AV24=8,"OK","NG"),IF(AV24=9,"OK","NG"))</f>
        <v/>
      </c>
    </row>
    <row r="25" ht="35.25" customFormat="1" customHeight="1" s="177">
      <c r="A25" s="132" t="n"/>
      <c r="B25" s="155" t="inlineStr">
        <is>
          <t>調理職員</t>
        </is>
      </c>
      <c r="C25" s="212" t="inlineStr">
        <is>
          <t>常勤/専従</t>
        </is>
      </c>
      <c r="D25" s="167" t="inlineStr">
        <is>
          <t>甲斐　幸子</t>
        </is>
      </c>
      <c r="E25" s="229" t="inlineStr">
        <is>
          <t>調2</t>
        </is>
      </c>
      <c r="F25" s="153" t="inlineStr">
        <is>
          <t>休</t>
        </is>
      </c>
      <c r="G25" s="227" t="inlineStr">
        <is>
          <t>休</t>
        </is>
      </c>
      <c r="H25" s="227" t="inlineStr">
        <is>
          <t>調2</t>
        </is>
      </c>
      <c r="I25" s="164" t="inlineStr">
        <is>
          <t>調2</t>
        </is>
      </c>
      <c r="J25" s="227" t="inlineStr">
        <is>
          <t>休</t>
        </is>
      </c>
      <c r="K25" s="227" t="inlineStr">
        <is>
          <t>休</t>
        </is>
      </c>
      <c r="L25" s="227" t="inlineStr">
        <is>
          <t>調2</t>
        </is>
      </c>
      <c r="M25" s="227" t="inlineStr">
        <is>
          <t>休</t>
        </is>
      </c>
      <c r="N25" s="227" t="inlineStr">
        <is>
          <t>休</t>
        </is>
      </c>
      <c r="O25" s="227" t="inlineStr">
        <is>
          <t>休</t>
        </is>
      </c>
      <c r="P25" s="227" t="inlineStr">
        <is>
          <t>調2</t>
        </is>
      </c>
      <c r="Q25" s="227" t="inlineStr">
        <is>
          <t>休</t>
        </is>
      </c>
      <c r="R25" s="227" t="inlineStr">
        <is>
          <t>休</t>
        </is>
      </c>
      <c r="S25" s="227" t="inlineStr">
        <is>
          <t>調2</t>
        </is>
      </c>
      <c r="T25" s="227" t="inlineStr">
        <is>
          <t>休</t>
        </is>
      </c>
      <c r="U25" s="227" t="inlineStr">
        <is>
          <t>休</t>
        </is>
      </c>
      <c r="V25" s="227" t="inlineStr">
        <is>
          <t>調2</t>
        </is>
      </c>
      <c r="W25" s="227" t="inlineStr">
        <is>
          <t>調2</t>
        </is>
      </c>
      <c r="X25" s="227" t="inlineStr">
        <is>
          <t>休</t>
        </is>
      </c>
      <c r="Y25" s="227" t="inlineStr">
        <is>
          <t>休</t>
        </is>
      </c>
      <c r="Z25" s="227" t="inlineStr">
        <is>
          <t>調2</t>
        </is>
      </c>
      <c r="AA25" s="164" t="inlineStr">
        <is>
          <t>休</t>
        </is>
      </c>
      <c r="AB25" s="227" t="inlineStr">
        <is>
          <t>休</t>
        </is>
      </c>
      <c r="AC25" s="227" t="inlineStr">
        <is>
          <t>調2</t>
        </is>
      </c>
      <c r="AD25" s="164" t="inlineStr">
        <is>
          <t>調2</t>
        </is>
      </c>
      <c r="AE25" s="227" t="inlineStr">
        <is>
          <t>休</t>
        </is>
      </c>
      <c r="AF25" s="227" t="inlineStr">
        <is>
          <t>休</t>
        </is>
      </c>
      <c r="AG25" s="227" t="inlineStr">
        <is>
          <t>調2</t>
        </is>
      </c>
      <c r="AH25" s="227" t="inlineStr">
        <is>
          <t>休</t>
        </is>
      </c>
      <c r="AI25" s="230" t="inlineStr">
        <is>
          <t>休</t>
        </is>
      </c>
      <c r="AJ25" s="231" t="n"/>
      <c r="AK25" s="205">
        <f>COUNTIF($E25:$AI25,"A")</f>
        <v/>
      </c>
      <c r="AL25" s="205">
        <f>COUNTIF($E25:$AI25,"B")</f>
        <v/>
      </c>
      <c r="AM25" s="205">
        <f>COUNTIF($E25:$AI25,"D")</f>
        <v/>
      </c>
      <c r="AN25" s="205">
        <f>+COUNTIF($E25:$AI25,"E")</f>
        <v/>
      </c>
      <c r="AO25" s="205">
        <f>COUNTIF($E25:$AI25,"C")</f>
        <v/>
      </c>
      <c r="AP25" s="205">
        <f>COUNTIF($E25:$AI25,"夜")</f>
        <v/>
      </c>
      <c r="AQ25" s="205">
        <f>COUNTIF($E25:$AI25,"明")</f>
        <v/>
      </c>
      <c r="AR25" s="205">
        <f>COUNTIF($E25:$AI25,"研")+COUNTIF($E25:$AI25,"健")</f>
        <v/>
      </c>
      <c r="AS25" s="205">
        <f>COUNTIF($E25:$AI25,"調1")</f>
        <v/>
      </c>
      <c r="AT25" s="205">
        <f>COUNTIF($E25:$AI25,"調2")</f>
        <v/>
      </c>
      <c r="AU25" s="205">
        <f>COUNTIF($E25:$AI25,"有")</f>
        <v/>
      </c>
      <c r="AV25" s="205">
        <f>COUNTIF($E25:$AI25,"休")+COUNTIF($E25:$AI25,"希")</f>
        <v/>
      </c>
      <c r="AW25" s="206">
        <f>SUM(AK25:AU25)</f>
        <v/>
      </c>
      <c r="AX25" s="206" t="n"/>
      <c r="AY25" s="207">
        <f>IF($AY$3=2,IF(AV25=8,"OK","NG"),IF(AV25=9,"OK","NG"))</f>
        <v/>
      </c>
      <c r="AZ25" s="132" t="n"/>
      <c r="BA25" s="132" t="n"/>
      <c r="BB25" s="132" t="n"/>
      <c r="BC25" s="132" t="n"/>
      <c r="BD25" s="132" t="n"/>
      <c r="BE25" s="132" t="n"/>
      <c r="BF25" s="132" t="n"/>
      <c r="BG25" s="132" t="n"/>
    </row>
    <row r="26" ht="35" customFormat="1" customHeight="1" s="177">
      <c r="A26" s="132" t="n"/>
      <c r="B26" s="155" t="inlineStr">
        <is>
          <t>調理職員</t>
        </is>
      </c>
      <c r="C26" s="212" t="inlineStr">
        <is>
          <t>常勤/専従</t>
        </is>
      </c>
      <c r="D26" s="167" t="inlineStr">
        <is>
          <t>甲斐　美菜子</t>
        </is>
      </c>
      <c r="E26" s="232" t="inlineStr">
        <is>
          <t>休</t>
        </is>
      </c>
      <c r="F26" s="227" t="inlineStr">
        <is>
          <t>休</t>
        </is>
      </c>
      <c r="G26" s="227" t="inlineStr">
        <is>
          <t>調2</t>
        </is>
      </c>
      <c r="H26" s="227" t="inlineStr">
        <is>
          <t>休</t>
        </is>
      </c>
      <c r="I26" s="233" t="inlineStr">
        <is>
          <t>休</t>
        </is>
      </c>
      <c r="J26" s="227" t="inlineStr">
        <is>
          <t>休</t>
        </is>
      </c>
      <c r="K26" s="227" t="inlineStr">
        <is>
          <t>休</t>
        </is>
      </c>
      <c r="L26" s="234" t="inlineStr">
        <is>
          <t>休</t>
        </is>
      </c>
      <c r="M26" s="227" t="inlineStr">
        <is>
          <t>休</t>
        </is>
      </c>
      <c r="N26" s="227" t="inlineStr">
        <is>
          <t>調2</t>
        </is>
      </c>
      <c r="O26" s="227" t="inlineStr">
        <is>
          <t>休</t>
        </is>
      </c>
      <c r="P26" s="233" t="inlineStr">
        <is>
          <t>休</t>
        </is>
      </c>
      <c r="Q26" s="227" t="inlineStr">
        <is>
          <t>休</t>
        </is>
      </c>
      <c r="R26" s="227" t="inlineStr">
        <is>
          <t>休</t>
        </is>
      </c>
      <c r="S26" s="234" t="inlineStr">
        <is>
          <t>休</t>
        </is>
      </c>
      <c r="T26" s="227" t="inlineStr">
        <is>
          <t>休</t>
        </is>
      </c>
      <c r="U26" s="227" t="inlineStr">
        <is>
          <t>休</t>
        </is>
      </c>
      <c r="V26" s="227" t="inlineStr">
        <is>
          <t>休</t>
        </is>
      </c>
      <c r="W26" s="233" t="inlineStr">
        <is>
          <t>休</t>
        </is>
      </c>
      <c r="X26" s="227" t="inlineStr">
        <is>
          <t>休</t>
        </is>
      </c>
      <c r="Y26" s="227" t="inlineStr">
        <is>
          <t>休</t>
        </is>
      </c>
      <c r="Z26" s="227" t="inlineStr">
        <is>
          <t>休</t>
        </is>
      </c>
      <c r="AA26" s="227" t="inlineStr">
        <is>
          <t>休</t>
        </is>
      </c>
      <c r="AB26" s="227" t="inlineStr">
        <is>
          <t>調2</t>
        </is>
      </c>
      <c r="AC26" s="227" t="inlineStr">
        <is>
          <t>休</t>
        </is>
      </c>
      <c r="AD26" s="233" t="inlineStr">
        <is>
          <t>休</t>
        </is>
      </c>
      <c r="AE26" s="227" t="inlineStr">
        <is>
          <t>休</t>
        </is>
      </c>
      <c r="AF26" s="227" t="inlineStr">
        <is>
          <t>休</t>
        </is>
      </c>
      <c r="AG26" s="234" t="inlineStr">
        <is>
          <t>休</t>
        </is>
      </c>
      <c r="AH26" s="227" t="inlineStr">
        <is>
          <t>休</t>
        </is>
      </c>
      <c r="AI26" s="227" t="inlineStr">
        <is>
          <t>調2</t>
        </is>
      </c>
      <c r="AJ26" s="231" t="n"/>
      <c r="AK26" s="205">
        <f>COUNTIF($E26:$AI26,"A")</f>
        <v/>
      </c>
      <c r="AL26" s="205">
        <f>COUNTIF($E26:$AI26,"B")</f>
        <v/>
      </c>
      <c r="AM26" s="205">
        <f>COUNTIF($E26:$AI26,"D")</f>
        <v/>
      </c>
      <c r="AN26" s="205">
        <f>+COUNTIF($E26:$AI26,"E")</f>
        <v/>
      </c>
      <c r="AO26" s="205">
        <f>COUNTIF($E26:$AI26,"C")</f>
        <v/>
      </c>
      <c r="AP26" s="205">
        <f>COUNTIF($E26:$AI26,"夜")</f>
        <v/>
      </c>
      <c r="AQ26" s="205">
        <f>COUNTIF($E26:$AI26,"明")</f>
        <v/>
      </c>
      <c r="AR26" s="205">
        <f>COUNTIF($E26:$AI26,"研")+COUNTIF($E26:$AI26,"健")</f>
        <v/>
      </c>
      <c r="AS26" s="205">
        <f>COUNTIF($E26:$AI26,"調1")</f>
        <v/>
      </c>
      <c r="AT26" s="205">
        <f>COUNTIF($E26:$AI26,"調2")</f>
        <v/>
      </c>
      <c r="AU26" s="205">
        <f>COUNTIF($E26:$AI26,"有")</f>
        <v/>
      </c>
      <c r="AV26" s="205">
        <f>COUNTIF($E26:$AI26,"休")+COUNTIF($E26:$AI26,"希")</f>
        <v/>
      </c>
      <c r="AW26" s="206">
        <f>SUM(AK26:AU26)</f>
        <v/>
      </c>
      <c r="AX26" s="206" t="n"/>
      <c r="AY26" s="207">
        <f>IF($AY$3=2,IF(AV26=8,"OK","NG"),IF(AV26=9,"OK","NG"))</f>
        <v/>
      </c>
      <c r="AZ26" s="132" t="n"/>
      <c r="BA26" s="132" t="n"/>
      <c r="BB26" s="132" t="n"/>
      <c r="BC26" s="132" t="n"/>
      <c r="BD26" s="132" t="n"/>
      <c r="BE26" s="132" t="n"/>
      <c r="BF26" s="132" t="n"/>
      <c r="BG26" s="132" t="n"/>
    </row>
    <row r="27" ht="35" customFormat="1" customHeight="1" s="177">
      <c r="A27" s="132" t="n"/>
      <c r="B27" s="155" t="inlineStr">
        <is>
          <t>調理職員</t>
        </is>
      </c>
      <c r="C27" s="212" t="inlineStr">
        <is>
          <t>常勤/兼任</t>
        </is>
      </c>
      <c r="D27" s="156" t="inlineStr">
        <is>
          <t>小椋　富美</t>
        </is>
      </c>
      <c r="E27" s="232" t="inlineStr">
        <is>
          <t>休</t>
        </is>
      </c>
      <c r="F27" s="153" t="inlineStr">
        <is>
          <t>休</t>
        </is>
      </c>
      <c r="G27" s="227" t="inlineStr">
        <is>
          <t>休</t>
        </is>
      </c>
      <c r="H27" s="234" t="inlineStr">
        <is>
          <t>休</t>
        </is>
      </c>
      <c r="I27" s="233" t="inlineStr">
        <is>
          <t>休</t>
        </is>
      </c>
      <c r="J27" s="227" t="inlineStr">
        <is>
          <t>休</t>
        </is>
      </c>
      <c r="K27" s="227" t="inlineStr">
        <is>
          <t>休</t>
        </is>
      </c>
      <c r="L27" s="234" t="inlineStr">
        <is>
          <t>休</t>
        </is>
      </c>
      <c r="M27" s="227" t="inlineStr">
        <is>
          <t>休</t>
        </is>
      </c>
      <c r="N27" s="227" t="inlineStr">
        <is>
          <t>休</t>
        </is>
      </c>
      <c r="O27" s="234" t="inlineStr">
        <is>
          <t>調2</t>
        </is>
      </c>
      <c r="P27" s="227" t="inlineStr">
        <is>
          <t>休</t>
        </is>
      </c>
      <c r="Q27" s="227" t="inlineStr">
        <is>
          <t>休</t>
        </is>
      </c>
      <c r="R27" s="227" t="inlineStr">
        <is>
          <t>休</t>
        </is>
      </c>
      <c r="S27" s="234" t="inlineStr">
        <is>
          <t>休</t>
        </is>
      </c>
      <c r="T27" s="227" t="inlineStr">
        <is>
          <t>調2</t>
        </is>
      </c>
      <c r="U27" s="227" t="inlineStr">
        <is>
          <t>休</t>
        </is>
      </c>
      <c r="V27" s="227" t="inlineStr">
        <is>
          <t>休</t>
        </is>
      </c>
      <c r="W27" s="233" t="inlineStr">
        <is>
          <t>休</t>
        </is>
      </c>
      <c r="X27" s="227" t="inlineStr">
        <is>
          <t>休</t>
        </is>
      </c>
      <c r="Y27" s="227" t="inlineStr">
        <is>
          <t>休</t>
        </is>
      </c>
      <c r="Z27" s="227" t="inlineStr">
        <is>
          <t>休</t>
        </is>
      </c>
      <c r="AA27" s="153" t="inlineStr">
        <is>
          <t>休</t>
        </is>
      </c>
      <c r="AB27" s="227" t="inlineStr">
        <is>
          <t>休</t>
        </is>
      </c>
      <c r="AC27" s="234" t="inlineStr">
        <is>
          <t>休</t>
        </is>
      </c>
      <c r="AD27" s="233" t="inlineStr">
        <is>
          <t>休</t>
        </is>
      </c>
      <c r="AE27" s="227" t="inlineStr">
        <is>
          <t>休</t>
        </is>
      </c>
      <c r="AF27" s="227" t="inlineStr">
        <is>
          <t>休</t>
        </is>
      </c>
      <c r="AG27" s="234" t="inlineStr">
        <is>
          <t>休</t>
        </is>
      </c>
      <c r="AH27" s="227" t="inlineStr">
        <is>
          <t>休</t>
        </is>
      </c>
      <c r="AI27" s="235" t="inlineStr">
        <is>
          <t>休</t>
        </is>
      </c>
      <c r="AJ27" s="231" t="n"/>
      <c r="AK27" s="205">
        <f>COUNTIF($E27:$AI27,"A")</f>
        <v/>
      </c>
      <c r="AL27" s="205">
        <f>COUNTIF($E27:$AI27,"B")</f>
        <v/>
      </c>
      <c r="AM27" s="205">
        <f>COUNTIF($E27:$AI27,"D")</f>
        <v/>
      </c>
      <c r="AN27" s="205">
        <f>+COUNTIF($E27:$AI27,"E")</f>
        <v/>
      </c>
      <c r="AO27" s="205">
        <f>COUNTIF($E27:$AI27,"C")</f>
        <v/>
      </c>
      <c r="AP27" s="205">
        <f>COUNTIF($E27:$AI27,"夜")</f>
        <v/>
      </c>
      <c r="AQ27" s="205">
        <f>COUNTIF($E27:$AI27,"明")</f>
        <v/>
      </c>
      <c r="AR27" s="205">
        <f>COUNTIF($E27:$AI27,"研")+COUNTIF($E27:$AI27,"健")</f>
        <v/>
      </c>
      <c r="AS27" s="205">
        <f>COUNTIF($E27:$AI27,"調1")</f>
        <v/>
      </c>
      <c r="AT27" s="205">
        <f>COUNTIF($E27:$AI27,"調2")</f>
        <v/>
      </c>
      <c r="AU27" s="205">
        <f>COUNTIF($E27:$AI27,"有")</f>
        <v/>
      </c>
      <c r="AV27" s="205">
        <f>COUNTIF($E27:$AI27,"休")+COUNTIF($E27:$AI27,"希")</f>
        <v/>
      </c>
      <c r="AW27" s="206">
        <f>SUM(AK27:AU27)</f>
        <v/>
      </c>
      <c r="AX27" s="206" t="n"/>
      <c r="AY27" s="207">
        <f>IF($AY$3=2,IF(AV27=8,"OK","NG"),IF(AV27=9,"OK","NG"))</f>
        <v/>
      </c>
      <c r="AZ27" s="132" t="n"/>
      <c r="BA27" s="132" t="n"/>
      <c r="BB27" s="132" t="n"/>
      <c r="BC27" s="132" t="n"/>
      <c r="BD27" s="132" t="n"/>
      <c r="BE27" s="132" t="n"/>
      <c r="BF27" s="132" t="n"/>
      <c r="BG27" s="132" t="n"/>
    </row>
    <row r="28" ht="35" customFormat="1" customHeight="1" s="177">
      <c r="A28" s="132" t="n"/>
      <c r="B28" s="155" t="inlineStr">
        <is>
          <t>調理職員</t>
        </is>
      </c>
      <c r="C28" s="212" t="inlineStr">
        <is>
          <t>非常勤/兼任</t>
        </is>
      </c>
      <c r="D28" s="156" t="inlineStr">
        <is>
          <t>甲斐　裕美子</t>
        </is>
      </c>
      <c r="E28" s="232" t="inlineStr">
        <is>
          <t>休</t>
        </is>
      </c>
      <c r="F28" s="227" t="inlineStr">
        <is>
          <t>休</t>
        </is>
      </c>
      <c r="G28" s="153" t="inlineStr">
        <is>
          <t>休</t>
        </is>
      </c>
      <c r="H28" s="234" t="inlineStr">
        <is>
          <t>休</t>
        </is>
      </c>
      <c r="I28" s="153" t="inlineStr">
        <is>
          <t>休</t>
        </is>
      </c>
      <c r="J28" s="227" t="inlineStr">
        <is>
          <t>休</t>
        </is>
      </c>
      <c r="K28" s="227" t="inlineStr">
        <is>
          <t>休</t>
        </is>
      </c>
      <c r="L28" s="234" t="inlineStr">
        <is>
          <t>休</t>
        </is>
      </c>
      <c r="M28" s="227" t="inlineStr">
        <is>
          <t>休</t>
        </is>
      </c>
      <c r="N28" s="227" t="inlineStr">
        <is>
          <t>休</t>
        </is>
      </c>
      <c r="O28" s="234" t="inlineStr">
        <is>
          <t>休</t>
        </is>
      </c>
      <c r="P28" s="233" t="inlineStr">
        <is>
          <t>休</t>
        </is>
      </c>
      <c r="Q28" s="227" t="inlineStr">
        <is>
          <t>休</t>
        </is>
      </c>
      <c r="R28" s="227" t="inlineStr">
        <is>
          <t>休</t>
        </is>
      </c>
      <c r="S28" s="227" t="inlineStr">
        <is>
          <t>休</t>
        </is>
      </c>
      <c r="T28" s="227" t="inlineStr">
        <is>
          <t>休</t>
        </is>
      </c>
      <c r="U28" s="227" t="inlineStr">
        <is>
          <t>調2</t>
        </is>
      </c>
      <c r="V28" s="227" t="inlineStr">
        <is>
          <t>休</t>
        </is>
      </c>
      <c r="W28" s="233" t="inlineStr">
        <is>
          <t>休</t>
        </is>
      </c>
      <c r="X28" s="227" t="inlineStr">
        <is>
          <t>休</t>
        </is>
      </c>
      <c r="Y28" s="227" t="inlineStr">
        <is>
          <t>休</t>
        </is>
      </c>
      <c r="Z28" s="227" t="inlineStr">
        <is>
          <t>休</t>
        </is>
      </c>
      <c r="AA28" s="227" t="inlineStr">
        <is>
          <t>休</t>
        </is>
      </c>
      <c r="AB28" s="227" t="inlineStr">
        <is>
          <t>休</t>
        </is>
      </c>
      <c r="AC28" s="234" t="inlineStr">
        <is>
          <t>休</t>
        </is>
      </c>
      <c r="AD28" s="153" t="inlineStr">
        <is>
          <t>休</t>
        </is>
      </c>
      <c r="AE28" s="227" t="inlineStr">
        <is>
          <t>休</t>
        </is>
      </c>
      <c r="AF28" s="227" t="inlineStr">
        <is>
          <t>休</t>
        </is>
      </c>
      <c r="AG28" s="227" t="inlineStr">
        <is>
          <t>休</t>
        </is>
      </c>
      <c r="AH28" s="227" t="inlineStr">
        <is>
          <t>休</t>
        </is>
      </c>
      <c r="AI28" s="235" t="inlineStr">
        <is>
          <t>休</t>
        </is>
      </c>
      <c r="AJ28" s="231" t="n"/>
      <c r="AK28" s="205">
        <f>COUNTIF($E28:$AI28,"A")</f>
        <v/>
      </c>
      <c r="AL28" s="205">
        <f>COUNTIF($E28:$AI28,"B")</f>
        <v/>
      </c>
      <c r="AM28" s="205">
        <f>COUNTIF($E28:$AI28,"D")</f>
        <v/>
      </c>
      <c r="AN28" s="205">
        <f>+COUNTIF($E28:$AI28,"E")</f>
        <v/>
      </c>
      <c r="AO28" s="205">
        <f>COUNTIF($E28:$AI28,"C")</f>
        <v/>
      </c>
      <c r="AP28" s="205">
        <f>COUNTIF($E28:$AI28,"夜")</f>
        <v/>
      </c>
      <c r="AQ28" s="205">
        <f>COUNTIF($E28:$AI28,"明")</f>
        <v/>
      </c>
      <c r="AR28" s="205">
        <f>COUNTIF($E28:$AI28,"研")+COUNTIF($E28:$AI28,"健")</f>
        <v/>
      </c>
      <c r="AS28" s="205">
        <f>COUNTIF($E28:$AI28,"調1")</f>
        <v/>
      </c>
      <c r="AT28" s="205">
        <f>COUNTIF($E28:$AI28,"調2")</f>
        <v/>
      </c>
      <c r="AU28" s="205">
        <f>COUNTIF($E28:$AI28,"有")</f>
        <v/>
      </c>
      <c r="AV28" s="205">
        <f>COUNTIF($E28:$AI28,"休")+COUNTIF($E28:$AI28,"希")</f>
        <v/>
      </c>
      <c r="AW28" s="206">
        <f>SUM(AK28:AU28)</f>
        <v/>
      </c>
      <c r="AX28" s="206" t="n"/>
      <c r="AY28" s="207">
        <f>IF($AY$3=2,IF(AV28=8,"OK","NG"),IF(AV28=9,"OK","NG"))</f>
        <v/>
      </c>
      <c r="AZ28" s="132" t="n"/>
      <c r="BA28" s="132" t="n"/>
      <c r="BB28" s="132" t="n"/>
      <c r="BC28" s="132" t="n"/>
      <c r="BD28" s="132" t="n"/>
      <c r="BE28" s="132" t="n"/>
      <c r="BF28" s="132" t="n"/>
      <c r="BG28" s="132" t="n"/>
    </row>
    <row r="29" ht="35" customFormat="1" customHeight="1" s="177">
      <c r="A29" s="132" t="n"/>
      <c r="B29" s="155" t="inlineStr">
        <is>
          <t>調理職員</t>
        </is>
      </c>
      <c r="C29" s="212" t="inlineStr">
        <is>
          <t>常勤/専従</t>
        </is>
      </c>
      <c r="D29" s="167" t="inlineStr">
        <is>
          <t>高本　みち子</t>
        </is>
      </c>
      <c r="E29" s="236" t="inlineStr">
        <is>
          <t>休</t>
        </is>
      </c>
      <c r="F29" s="233" t="inlineStr">
        <is>
          <t>調2</t>
        </is>
      </c>
      <c r="G29" s="233" t="inlineStr">
        <is>
          <t>休</t>
        </is>
      </c>
      <c r="H29" s="233" t="inlineStr">
        <is>
          <t>休</t>
        </is>
      </c>
      <c r="I29" s="233" t="inlineStr">
        <is>
          <t>休</t>
        </is>
      </c>
      <c r="J29" s="233" t="inlineStr">
        <is>
          <t>休</t>
        </is>
      </c>
      <c r="K29" s="233" t="inlineStr">
        <is>
          <t>休</t>
        </is>
      </c>
      <c r="L29" s="227" t="inlineStr">
        <is>
          <t>休</t>
        </is>
      </c>
      <c r="M29" s="233" t="inlineStr">
        <is>
          <t>調2</t>
        </is>
      </c>
      <c r="N29" s="227" t="inlineStr">
        <is>
          <t>休</t>
        </is>
      </c>
      <c r="O29" s="233" t="inlineStr">
        <is>
          <t>休</t>
        </is>
      </c>
      <c r="P29" s="233" t="inlineStr">
        <is>
          <t>休</t>
        </is>
      </c>
      <c r="Q29" s="233" t="inlineStr">
        <is>
          <t>休</t>
        </is>
      </c>
      <c r="R29" s="233" t="inlineStr">
        <is>
          <t>休</t>
        </is>
      </c>
      <c r="S29" s="227" t="inlineStr">
        <is>
          <t>休</t>
        </is>
      </c>
      <c r="T29" s="233" t="inlineStr">
        <is>
          <t>休</t>
        </is>
      </c>
      <c r="U29" s="227" t="inlineStr">
        <is>
          <t>休</t>
        </is>
      </c>
      <c r="V29" s="233" t="inlineStr">
        <is>
          <t>休</t>
        </is>
      </c>
      <c r="W29" s="233" t="inlineStr">
        <is>
          <t>休</t>
        </is>
      </c>
      <c r="X29" s="227" t="inlineStr">
        <is>
          <t>休</t>
        </is>
      </c>
      <c r="Y29" s="227" t="inlineStr">
        <is>
          <t>休</t>
        </is>
      </c>
      <c r="Z29" s="227" t="inlineStr">
        <is>
          <t>休</t>
        </is>
      </c>
      <c r="AA29" s="233" t="inlineStr">
        <is>
          <t>調2</t>
        </is>
      </c>
      <c r="AB29" s="227" t="inlineStr">
        <is>
          <t>休</t>
        </is>
      </c>
      <c r="AC29" s="233" t="inlineStr">
        <is>
          <t>休</t>
        </is>
      </c>
      <c r="AD29" s="233" t="inlineStr">
        <is>
          <t>休</t>
        </is>
      </c>
      <c r="AE29" s="227" t="inlineStr">
        <is>
          <t>休</t>
        </is>
      </c>
      <c r="AF29" s="233" t="inlineStr">
        <is>
          <t>休</t>
        </is>
      </c>
      <c r="AG29" s="233" t="inlineStr">
        <is>
          <t>休</t>
        </is>
      </c>
      <c r="AH29" s="233" t="inlineStr">
        <is>
          <t>調2</t>
        </is>
      </c>
      <c r="AI29" s="228" t="inlineStr">
        <is>
          <t>休</t>
        </is>
      </c>
      <c r="AJ29" s="231" t="n"/>
      <c r="AK29" s="205">
        <f>COUNTIF($E29:$AI29,"A")</f>
        <v/>
      </c>
      <c r="AL29" s="205">
        <f>COUNTIF($E29:$AI29,"B")</f>
        <v/>
      </c>
      <c r="AM29" s="205">
        <f>COUNTIF($E29:$AI29,"D")</f>
        <v/>
      </c>
      <c r="AN29" s="205">
        <f>+COUNTIF($E29:$AI29,"E")</f>
        <v/>
      </c>
      <c r="AO29" s="205">
        <f>COUNTIF($E29:$AI29,"C")</f>
        <v/>
      </c>
      <c r="AP29" s="205">
        <f>COUNTIF($E29:$AI29,"夜")</f>
        <v/>
      </c>
      <c r="AQ29" s="205">
        <f>COUNTIF($E29:$AI29,"明")</f>
        <v/>
      </c>
      <c r="AR29" s="205">
        <f>COUNTIF($E29:$AI29,"研")+COUNTIF($E29:$AI29,"健")</f>
        <v/>
      </c>
      <c r="AS29" s="205">
        <f>COUNTIF($E29:$AI29,"調1")</f>
        <v/>
      </c>
      <c r="AT29" s="205">
        <f>COUNTIF($E29:$AI29,"調2")</f>
        <v/>
      </c>
      <c r="AU29" s="205">
        <f>COUNTIF($E29:$AI29,"有")</f>
        <v/>
      </c>
      <c r="AV29" s="205">
        <f>COUNTIF($E29:$AI29,"休")+COUNTIF($E29:$AI29,"希")</f>
        <v/>
      </c>
      <c r="AW29" s="206">
        <f>SUM(AK29:AU29)</f>
        <v/>
      </c>
      <c r="AX29" s="206" t="n"/>
      <c r="AY29" s="207">
        <f>IF($AY$3=2,IF(AV29=8,"OK","NG"),IF(AV29=9,"OK","NG"))</f>
        <v/>
      </c>
      <c r="AZ29" s="132" t="n"/>
      <c r="BA29" s="132" t="n"/>
      <c r="BB29" s="132" t="n"/>
      <c r="BC29" s="132" t="n"/>
      <c r="BD29" s="132" t="n"/>
      <c r="BE29" s="132" t="n"/>
      <c r="BF29" s="132" t="n"/>
      <c r="BG29" s="132" t="n"/>
    </row>
    <row r="30" ht="35" customHeight="1" s="447" thickBot="1">
      <c r="B30" s="168" t="inlineStr">
        <is>
          <t>調理職員</t>
        </is>
      </c>
      <c r="C30" s="237" t="inlineStr">
        <is>
          <t>常勤/専従</t>
        </is>
      </c>
      <c r="D30" s="169" t="inlineStr">
        <is>
          <t>花田　美幸</t>
        </is>
      </c>
      <c r="E30" s="238" t="inlineStr">
        <is>
          <t>休</t>
        </is>
      </c>
      <c r="F30" s="239" t="inlineStr">
        <is>
          <t>休</t>
        </is>
      </c>
      <c r="G30" s="239" t="inlineStr">
        <is>
          <t>休</t>
        </is>
      </c>
      <c r="H30" s="239" t="inlineStr">
        <is>
          <t>休</t>
        </is>
      </c>
      <c r="I30" s="239" t="inlineStr">
        <is>
          <t>休</t>
        </is>
      </c>
      <c r="J30" s="239" t="inlineStr">
        <is>
          <t>休</t>
        </is>
      </c>
      <c r="K30" s="239" t="inlineStr">
        <is>
          <t>休</t>
        </is>
      </c>
      <c r="L30" s="239" t="inlineStr">
        <is>
          <t>休</t>
        </is>
      </c>
      <c r="M30" s="239" t="inlineStr">
        <is>
          <t>休</t>
        </is>
      </c>
      <c r="N30" s="239" t="inlineStr">
        <is>
          <t>休</t>
        </is>
      </c>
      <c r="O30" s="239" t="inlineStr">
        <is>
          <t>休</t>
        </is>
      </c>
      <c r="P30" s="239" t="inlineStr">
        <is>
          <t>休</t>
        </is>
      </c>
      <c r="Q30" s="239" t="inlineStr">
        <is>
          <t>休</t>
        </is>
      </c>
      <c r="R30" s="239" t="inlineStr">
        <is>
          <t>休</t>
        </is>
      </c>
      <c r="S30" s="239" t="inlineStr">
        <is>
          <t>休</t>
        </is>
      </c>
      <c r="T30" s="239" t="inlineStr">
        <is>
          <t>休</t>
        </is>
      </c>
      <c r="U30" s="239" t="inlineStr">
        <is>
          <t>休</t>
        </is>
      </c>
      <c r="V30" s="239" t="inlineStr">
        <is>
          <t>休</t>
        </is>
      </c>
      <c r="W30" s="239" t="inlineStr">
        <is>
          <t>休</t>
        </is>
      </c>
      <c r="X30" s="239" t="inlineStr">
        <is>
          <t>休</t>
        </is>
      </c>
      <c r="Y30" s="239" t="inlineStr">
        <is>
          <t>休</t>
        </is>
      </c>
      <c r="Z30" s="239" t="inlineStr">
        <is>
          <t>休</t>
        </is>
      </c>
      <c r="AA30" s="239" t="inlineStr">
        <is>
          <t>休</t>
        </is>
      </c>
      <c r="AB30" s="239" t="inlineStr">
        <is>
          <t>休</t>
        </is>
      </c>
      <c r="AC30" s="239" t="inlineStr">
        <is>
          <t>休</t>
        </is>
      </c>
      <c r="AD30" s="239" t="inlineStr">
        <is>
          <t>休</t>
        </is>
      </c>
      <c r="AE30" s="239" t="inlineStr">
        <is>
          <t>休</t>
        </is>
      </c>
      <c r="AF30" s="239" t="inlineStr">
        <is>
          <t>休</t>
        </is>
      </c>
      <c r="AG30" s="239" t="inlineStr">
        <is>
          <t>休</t>
        </is>
      </c>
      <c r="AH30" s="239" t="inlineStr">
        <is>
          <t>休</t>
        </is>
      </c>
      <c r="AI30" s="240" t="inlineStr">
        <is>
          <t>休</t>
        </is>
      </c>
      <c r="AJ30" s="188" t="n"/>
      <c r="AK30" s="205">
        <f>COUNTIF($E30:$AI30,"A")</f>
        <v/>
      </c>
      <c r="AL30" s="205">
        <f>COUNTIF($E30:$AI30,"B")</f>
        <v/>
      </c>
      <c r="AM30" s="205">
        <f>COUNTIF($E30:$AI30,"D")</f>
        <v/>
      </c>
      <c r="AN30" s="205">
        <f>+COUNTIF($E30:$AI30,"E")</f>
        <v/>
      </c>
      <c r="AO30" s="205">
        <f>COUNTIF($E30:$AI30,"C")</f>
        <v/>
      </c>
      <c r="AP30" s="205">
        <f>COUNTIF($E30:$AI30,"夜")</f>
        <v/>
      </c>
      <c r="AQ30" s="205">
        <f>COUNTIF($E30:$AI30,"明")</f>
        <v/>
      </c>
      <c r="AR30" s="205">
        <f>COUNTIF($E30:$AI30,"研")+COUNTIF($E30:$AI30,"健")</f>
        <v/>
      </c>
      <c r="AS30" s="205">
        <f>COUNTIF($E30:$AI30,"調1")</f>
        <v/>
      </c>
      <c r="AT30" s="205">
        <f>COUNTIF($E30:$AI30,"調2")</f>
        <v/>
      </c>
      <c r="AU30" s="205">
        <f>COUNTIF($E30:$AI30,"有")</f>
        <v/>
      </c>
      <c r="AV30" s="205">
        <f>COUNTIF($E30:$AI30,"休")+COUNTIF($E30:$AI30,"希")</f>
        <v/>
      </c>
      <c r="AW30" s="206">
        <f>SUM(AK30:AU30)</f>
        <v/>
      </c>
      <c r="AX30" s="206" t="n"/>
      <c r="AY30" s="207">
        <f>IF($AY$3=2,IF(AV30=8,"OK","NG"),IF(AV30=9,"OK","NG"))</f>
        <v/>
      </c>
    </row>
    <row r="31" ht="34.5" customHeight="1" s="447" thickBot="1">
      <c r="B31" s="177" t="n"/>
      <c r="C31" s="177" t="n"/>
      <c r="D31" s="241" t="n"/>
      <c r="E31" s="242" t="n"/>
      <c r="F31" s="243" t="n"/>
      <c r="G31" s="243" t="n"/>
      <c r="H31" s="244" t="n"/>
      <c r="I31" s="243" t="n"/>
      <c r="J31" s="244" t="n"/>
      <c r="K31" s="241" t="n"/>
      <c r="L31" s="241" t="n"/>
      <c r="M31" s="242" t="n"/>
      <c r="N31" s="243" t="n"/>
      <c r="O31" s="243" t="n"/>
      <c r="P31" s="243" t="n"/>
      <c r="Q31" s="243" t="n"/>
      <c r="R31" s="244" t="n"/>
      <c r="S31" s="241" t="n"/>
      <c r="T31" s="242" t="n"/>
      <c r="U31" s="241" t="n"/>
      <c r="V31" s="241" t="n"/>
      <c r="W31" s="241" t="n"/>
      <c r="X31" s="241" t="n"/>
      <c r="Y31" s="243" t="n"/>
      <c r="Z31" s="243" t="n"/>
      <c r="AA31" s="243" t="n"/>
      <c r="AB31" s="243" t="n"/>
      <c r="AC31" s="242" t="n"/>
      <c r="AD31" s="243" t="n"/>
      <c r="AE31" s="243" t="n"/>
      <c r="AF31" s="243" t="n"/>
      <c r="AG31" s="243" t="n"/>
      <c r="AH31" s="177" t="n"/>
      <c r="AI31" s="177" t="n"/>
      <c r="AK31" s="245" t="n"/>
      <c r="AL31" s="246" t="n"/>
      <c r="AM31" s="246" t="n"/>
      <c r="AN31" s="246" t="n"/>
      <c r="AO31" s="245" t="n"/>
      <c r="AP31" s="247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</row>
    <row r="32" ht="34.5" customHeight="1" s="447">
      <c r="B32" s="397" t="inlineStr">
        <is>
          <t>介護職員条件満たしているか</t>
        </is>
      </c>
      <c r="C32" s="400" t="inlineStr">
        <is>
          <t>A(9:30-17:30)</t>
        </is>
      </c>
      <c r="D32" s="481" t="n"/>
      <c r="E32" s="246">
        <f>COUNTIF(E$7:E$17,"A")</f>
        <v/>
      </c>
      <c r="F32" s="246">
        <f>COUNTIF(F$7:F$17,"A")</f>
        <v/>
      </c>
      <c r="G32" s="246">
        <f>COUNTIF(G$7:G$17,"A")</f>
        <v/>
      </c>
      <c r="H32" s="246">
        <f>COUNTIF(H$7:H$17,"A")</f>
        <v/>
      </c>
      <c r="I32" s="246">
        <f>COUNTIF(I$7:I$17,"A")</f>
        <v/>
      </c>
      <c r="J32" s="246">
        <f>COUNTIF(J$7:J$17,"A")</f>
        <v/>
      </c>
      <c r="K32" s="246">
        <f>COUNTIF(K$7:K$17,"A")</f>
        <v/>
      </c>
      <c r="L32" s="246">
        <f>COUNTIF(L$7:L$17,"A")</f>
        <v/>
      </c>
      <c r="M32" s="246">
        <f>COUNTIF(M$7:M$17,"A")</f>
        <v/>
      </c>
      <c r="N32" s="246">
        <f>COUNTIF(N$7:N$17,"A")</f>
        <v/>
      </c>
      <c r="O32" s="246">
        <f>COUNTIF(O$7:O$17,"A")</f>
        <v/>
      </c>
      <c r="P32" s="246">
        <f>COUNTIF(P$7:P$17,"A")</f>
        <v/>
      </c>
      <c r="Q32" s="246">
        <f>COUNTIF(Q$7:Q$17,"A")</f>
        <v/>
      </c>
      <c r="R32" s="246">
        <f>COUNTIF(R$7:R$17,"A")</f>
        <v/>
      </c>
      <c r="S32" s="246">
        <f>COUNTIF(S$7:S$17,"A")</f>
        <v/>
      </c>
      <c r="T32" s="246">
        <f>COUNTIF(T$7:T$17,"A")</f>
        <v/>
      </c>
      <c r="U32" s="246">
        <f>COUNTIF(U$7:U$17,"A")</f>
        <v/>
      </c>
      <c r="V32" s="246">
        <f>COUNTIF(V$7:V$17,"A")</f>
        <v/>
      </c>
      <c r="W32" s="246">
        <f>COUNTIF(W$7:W$17,"A")</f>
        <v/>
      </c>
      <c r="X32" s="246">
        <f>COUNTIF(X$7:X$17,"A")</f>
        <v/>
      </c>
      <c r="Y32" s="246">
        <f>COUNTIF(Y$7:Y$17,"A")</f>
        <v/>
      </c>
      <c r="Z32" s="246">
        <f>COUNTIF(Z$7:Z$17,"A")</f>
        <v/>
      </c>
      <c r="AA32" s="246">
        <f>COUNTIF(AA$7:AA$17,"A")</f>
        <v/>
      </c>
      <c r="AB32" s="246">
        <f>COUNTIF(AB$7:AB$17,"A")</f>
        <v/>
      </c>
      <c r="AC32" s="246">
        <f>COUNTIF(AC$7:AC$17,"A")</f>
        <v/>
      </c>
      <c r="AD32" s="246">
        <f>COUNTIF(AD$7:AD$17,"A")</f>
        <v/>
      </c>
      <c r="AE32" s="246">
        <f>COUNTIF(AE$7:AE$17,"A")</f>
        <v/>
      </c>
      <c r="AF32" s="246">
        <f>COUNTIF(AF$7:AF$17,"A")</f>
        <v/>
      </c>
      <c r="AG32" s="246">
        <f>COUNTIF(AG$7:AG$17,"A")</f>
        <v/>
      </c>
      <c r="AH32" s="246">
        <f>COUNTIF(AH$7:AH$17,"A")</f>
        <v/>
      </c>
      <c r="AI32" s="246">
        <f>COUNTIF(AI$7:AI$17,"A")</f>
        <v/>
      </c>
      <c r="AK32" s="245" t="n"/>
      <c r="AL32" s="246" t="n"/>
      <c r="AM32" s="246" t="n"/>
      <c r="AN32" s="246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</row>
    <row r="33" ht="34.5" customHeight="1" s="447">
      <c r="B33" s="460" t="n"/>
      <c r="C33" s="402" t="inlineStr">
        <is>
          <t>B(7:00-16:00)</t>
        </is>
      </c>
      <c r="D33" s="474" t="n"/>
      <c r="E33" s="246">
        <f>COUNTIF(E$7:E$17,"B")</f>
        <v/>
      </c>
      <c r="F33" s="246">
        <f>COUNTIF(F$7:F$17,"B")</f>
        <v/>
      </c>
      <c r="G33" s="246">
        <f>COUNTIF(G$7:G$17,"B")</f>
        <v/>
      </c>
      <c r="H33" s="246">
        <f>COUNTIF(H$7:H$17,"B")</f>
        <v/>
      </c>
      <c r="I33" s="246">
        <f>COUNTIF(I$7:I$17,"B")</f>
        <v/>
      </c>
      <c r="J33" s="246">
        <f>COUNTIF(J$7:J$17,"B")</f>
        <v/>
      </c>
      <c r="K33" s="246">
        <f>COUNTIF(K$7:K$17,"B")</f>
        <v/>
      </c>
      <c r="L33" s="246">
        <f>COUNTIF(L$7:L$17,"B")</f>
        <v/>
      </c>
      <c r="M33" s="246">
        <f>COUNTIF(M$7:M$17,"B")</f>
        <v/>
      </c>
      <c r="N33" s="246">
        <f>COUNTIF(N$7:N$17,"B")</f>
        <v/>
      </c>
      <c r="O33" s="246">
        <f>COUNTIF(O$7:O$17,"B")</f>
        <v/>
      </c>
      <c r="P33" s="246">
        <f>COUNTIF(P$7:P$17,"B")</f>
        <v/>
      </c>
      <c r="Q33" s="246">
        <f>COUNTIF(Q$7:Q$17,"B")</f>
        <v/>
      </c>
      <c r="R33" s="246">
        <f>COUNTIF(R$7:R$17,"B")</f>
        <v/>
      </c>
      <c r="S33" s="246">
        <f>COUNTIF(S$7:S$17,"B")</f>
        <v/>
      </c>
      <c r="T33" s="246">
        <f>COUNTIF(T$7:T$17,"B")</f>
        <v/>
      </c>
      <c r="U33" s="246">
        <f>COUNTIF(U$7:U$17,"B")</f>
        <v/>
      </c>
      <c r="V33" s="246">
        <f>COUNTIF(V$7:V$17,"B")</f>
        <v/>
      </c>
      <c r="W33" s="246">
        <f>COUNTIF(W$7:W$17,"B")</f>
        <v/>
      </c>
      <c r="X33" s="246">
        <f>COUNTIF(X$7:X$17,"B")</f>
        <v/>
      </c>
      <c r="Y33" s="246">
        <f>COUNTIF(Y$7:Y$17,"B")</f>
        <v/>
      </c>
      <c r="Z33" s="246">
        <f>COUNTIF(Z$7:Z$17,"B")</f>
        <v/>
      </c>
      <c r="AA33" s="246">
        <f>COUNTIF(AA$7:AA$17,"B")</f>
        <v/>
      </c>
      <c r="AB33" s="246">
        <f>COUNTIF(AB$7:AB$17,"B")</f>
        <v/>
      </c>
      <c r="AC33" s="246">
        <f>COUNTIF(AC$7:AC$17,"B")</f>
        <v/>
      </c>
      <c r="AD33" s="246">
        <f>COUNTIF(AD$7:AD$17,"B")</f>
        <v/>
      </c>
      <c r="AE33" s="246">
        <f>COUNTIF(AE$7:AE$17,"B")</f>
        <v/>
      </c>
      <c r="AF33" s="246">
        <f>COUNTIF(AF$7:AF$17,"B")</f>
        <v/>
      </c>
      <c r="AG33" s="246">
        <f>COUNTIF(AG$7:AG$17,"B")</f>
        <v/>
      </c>
      <c r="AH33" s="246">
        <f>COUNTIF(AH$7:AH$17,"B")</f>
        <v/>
      </c>
      <c r="AI33" s="246">
        <f>COUNTIF(AI$7:AI$17,"B")</f>
        <v/>
      </c>
      <c r="AK33" s="245" t="n"/>
      <c r="AL33" s="246" t="n"/>
      <c r="AM33" s="246" t="n"/>
      <c r="AN33" s="246" t="n"/>
      <c r="AO33" s="245" t="n"/>
      <c r="AP33" s="247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</row>
    <row r="34" ht="34.5" customHeight="1" s="447">
      <c r="B34" s="460" t="n"/>
      <c r="C34" s="402" t="inlineStr">
        <is>
          <t>C(12:30-20:30)</t>
        </is>
      </c>
      <c r="D34" s="474" t="n"/>
      <c r="E34" s="246">
        <f>COUNTIF(E$7:E$17,"C")</f>
        <v/>
      </c>
      <c r="F34" s="246">
        <f>COUNTIF(F$7:F$17,"C")</f>
        <v/>
      </c>
      <c r="G34" s="246">
        <f>COUNTIF(G$7:G$17,"C")</f>
        <v/>
      </c>
      <c r="H34" s="246">
        <f>COUNTIF(H$7:H$17,"C")</f>
        <v/>
      </c>
      <c r="I34" s="246">
        <f>COUNTIF(I$7:I$17,"C")</f>
        <v/>
      </c>
      <c r="J34" s="246">
        <f>COUNTIF(J$7:J$17,"C")</f>
        <v/>
      </c>
      <c r="K34" s="246">
        <f>COUNTIF(K$7:K$17,"C")</f>
        <v/>
      </c>
      <c r="L34" s="246">
        <f>COUNTIF(L$7:L$17,"C")</f>
        <v/>
      </c>
      <c r="M34" s="246">
        <f>COUNTIF(M$7:M$17,"C")</f>
        <v/>
      </c>
      <c r="N34" s="246">
        <f>COUNTIF(N$7:N$17,"C")</f>
        <v/>
      </c>
      <c r="O34" s="246">
        <f>COUNTIF(O$7:O$17,"C")</f>
        <v/>
      </c>
      <c r="P34" s="246">
        <f>COUNTIF(P$7:P$17,"C")</f>
        <v/>
      </c>
      <c r="Q34" s="246">
        <f>COUNTIF(Q$7:Q$17,"C")</f>
        <v/>
      </c>
      <c r="R34" s="246">
        <f>COUNTIF(R$7:R$17,"C")</f>
        <v/>
      </c>
      <c r="S34" s="246">
        <f>COUNTIF(S$7:S$17,"C")</f>
        <v/>
      </c>
      <c r="T34" s="246">
        <f>COUNTIF(T$7:T$17,"C")</f>
        <v/>
      </c>
      <c r="U34" s="246">
        <f>COUNTIF(U$7:U$17,"C")</f>
        <v/>
      </c>
      <c r="V34" s="246">
        <f>COUNTIF(V$7:V$17,"C")</f>
        <v/>
      </c>
      <c r="W34" s="246">
        <f>COUNTIF(W$7:W$17,"C")</f>
        <v/>
      </c>
      <c r="X34" s="246">
        <f>COUNTIF(X$7:X$17,"C")</f>
        <v/>
      </c>
      <c r="Y34" s="246">
        <f>COUNTIF(Y$7:Y$17,"C")</f>
        <v/>
      </c>
      <c r="Z34" s="246">
        <f>COUNTIF(Z$7:Z$17,"C")</f>
        <v/>
      </c>
      <c r="AA34" s="246">
        <f>COUNTIF(AA$7:AA$17,"C")</f>
        <v/>
      </c>
      <c r="AB34" s="246">
        <f>COUNTIF(AB$7:AB$17,"C")</f>
        <v/>
      </c>
      <c r="AC34" s="246">
        <f>COUNTIF(AC$7:AC$17,"C")</f>
        <v/>
      </c>
      <c r="AD34" s="246">
        <f>COUNTIF(AD$7:AD$17,"C")</f>
        <v/>
      </c>
      <c r="AE34" s="246">
        <f>COUNTIF(AE$7:AE$17,"C")</f>
        <v/>
      </c>
      <c r="AF34" s="246">
        <f>COUNTIF(AF$7:AF$17,"C")</f>
        <v/>
      </c>
      <c r="AG34" s="246">
        <f>COUNTIF(AG$7:AG$17,"C")</f>
        <v/>
      </c>
      <c r="AH34" s="246">
        <f>COUNTIF(AH$7:AH$17,"C")</f>
        <v/>
      </c>
      <c r="AI34" s="246">
        <f>COUNTIF(AI$7:AI$17,"C")</f>
        <v/>
      </c>
      <c r="AK34" s="245" t="n"/>
      <c r="AL34" s="246" t="n"/>
      <c r="AM34" s="246" t="n"/>
      <c r="AN34" s="246" t="n"/>
      <c r="AO34" s="245" t="n"/>
      <c r="AP34" s="247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</row>
    <row r="35" ht="34.5" customHeight="1" s="447">
      <c r="B35" s="460" t="n"/>
      <c r="C35" s="402" t="inlineStr">
        <is>
          <t>D(8:30-16:30)</t>
        </is>
      </c>
      <c r="D35" s="474" t="n"/>
      <c r="E35" s="246">
        <f>COUNTIF(E$7:E$17,"D")</f>
        <v/>
      </c>
      <c r="F35" s="246">
        <f>COUNTIF(F$7:F$17,"D")</f>
        <v/>
      </c>
      <c r="G35" s="246">
        <f>COUNTIF(G$7:G$17,"D")</f>
        <v/>
      </c>
      <c r="H35" s="246">
        <f>COUNTIF(H$7:H$17,"D")</f>
        <v/>
      </c>
      <c r="I35" s="246">
        <f>COUNTIF(I$7:I$17,"D")</f>
        <v/>
      </c>
      <c r="J35" s="246">
        <f>COUNTIF(J$7:J$17,"D")</f>
        <v/>
      </c>
      <c r="K35" s="246">
        <f>COUNTIF(K$7:K$17,"D")</f>
        <v/>
      </c>
      <c r="L35" s="246">
        <f>COUNTIF(L$7:L$17,"D")</f>
        <v/>
      </c>
      <c r="M35" s="246">
        <f>COUNTIF(M$7:M$17,"D")</f>
        <v/>
      </c>
      <c r="N35" s="246">
        <f>COUNTIF(N$7:N$17,"D")</f>
        <v/>
      </c>
      <c r="O35" s="246">
        <f>COUNTIF(O$7:O$17,"D")</f>
        <v/>
      </c>
      <c r="P35" s="246">
        <f>COUNTIF(P$7:P$17,"D")</f>
        <v/>
      </c>
      <c r="Q35" s="246">
        <f>COUNTIF(Q$7:Q$17,"D")</f>
        <v/>
      </c>
      <c r="R35" s="246">
        <f>COUNTIF(R$7:R$17,"D")</f>
        <v/>
      </c>
      <c r="S35" s="246">
        <f>COUNTIF(S$7:S$17,"D")</f>
        <v/>
      </c>
      <c r="T35" s="246">
        <f>COUNTIF(T$7:T$17,"D")</f>
        <v/>
      </c>
      <c r="U35" s="246">
        <f>COUNTIF(U$7:U$17,"D")</f>
        <v/>
      </c>
      <c r="V35" s="246">
        <f>COUNTIF(V$7:V$17,"D")</f>
        <v/>
      </c>
      <c r="W35" s="246">
        <f>COUNTIF(W$7:W$17,"D")</f>
        <v/>
      </c>
      <c r="X35" s="246">
        <f>COUNTIF(X$7:X$17,"D")</f>
        <v/>
      </c>
      <c r="Y35" s="246">
        <f>COUNTIF(Y$7:Y$17,"D")</f>
        <v/>
      </c>
      <c r="Z35" s="246">
        <f>COUNTIF(Z$7:Z$17,"D")</f>
        <v/>
      </c>
      <c r="AA35" s="246">
        <f>COUNTIF(AA$7:AA$17,"D")</f>
        <v/>
      </c>
      <c r="AB35" s="246">
        <f>COUNTIF(AB$7:AB$17,"D")</f>
        <v/>
      </c>
      <c r="AC35" s="246">
        <f>COUNTIF(AC$7:AC$17,"D")</f>
        <v/>
      </c>
      <c r="AD35" s="246">
        <f>COUNTIF(AD$7:AD$17,"D")</f>
        <v/>
      </c>
      <c r="AE35" s="246">
        <f>COUNTIF(AE$7:AE$17,"D")</f>
        <v/>
      </c>
      <c r="AF35" s="246">
        <f>COUNTIF(AF$7:AF$17,"D")</f>
        <v/>
      </c>
      <c r="AG35" s="246">
        <f>COUNTIF(AG$7:AG$17,"D")</f>
        <v/>
      </c>
      <c r="AH35" s="246">
        <f>COUNTIF(AH$7:AH$17,"D")</f>
        <v/>
      </c>
      <c r="AI35" s="246">
        <f>COUNTIF(AI$7:AI$17,"D")</f>
        <v/>
      </c>
      <c r="AK35" s="245" t="n"/>
      <c r="AL35" s="246" t="n"/>
      <c r="AM35" s="246" t="n"/>
      <c r="AN35" s="246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</row>
    <row r="36" ht="34.5" customHeight="1" s="447">
      <c r="B36" s="460" t="n"/>
      <c r="C36" s="402" t="inlineStr">
        <is>
          <t>夜勤(17:00-1:00)</t>
        </is>
      </c>
      <c r="D36" s="474" t="n"/>
      <c r="E36" s="246">
        <f>COUNTIF(E$7:E$17,"夜")</f>
        <v/>
      </c>
      <c r="F36" s="246">
        <f>COUNTIF(F$7:F$17,"夜")</f>
        <v/>
      </c>
      <c r="G36" s="246">
        <f>COUNTIF(G$7:G$17,"夜")</f>
        <v/>
      </c>
      <c r="H36" s="246">
        <f>COUNTIF(H$7:H$17,"夜")</f>
        <v/>
      </c>
      <c r="I36" s="246">
        <f>COUNTIF(I$7:I$17,"夜")</f>
        <v/>
      </c>
      <c r="J36" s="246">
        <f>COUNTIF(J$7:J$17,"夜")</f>
        <v/>
      </c>
      <c r="K36" s="246">
        <f>COUNTIF(K$7:K$17,"夜")</f>
        <v/>
      </c>
      <c r="L36" s="246">
        <f>COUNTIF(L$7:L$17,"夜")</f>
        <v/>
      </c>
      <c r="M36" s="246">
        <f>COUNTIF(M$7:M$17,"夜")</f>
        <v/>
      </c>
      <c r="N36" s="246">
        <f>COUNTIF(N$7:N$17,"夜")</f>
        <v/>
      </c>
      <c r="O36" s="246">
        <f>COUNTIF(O$7:O$17,"夜")</f>
        <v/>
      </c>
      <c r="P36" s="246">
        <f>COUNTIF(P$7:P$17,"夜")</f>
        <v/>
      </c>
      <c r="Q36" s="246">
        <f>COUNTIF(Q$7:Q$17,"夜")</f>
        <v/>
      </c>
      <c r="R36" s="246">
        <f>COUNTIF(R$7:R$17,"夜")</f>
        <v/>
      </c>
      <c r="S36" s="246">
        <f>COUNTIF(S$7:S$17,"夜")</f>
        <v/>
      </c>
      <c r="T36" s="246">
        <f>COUNTIF(T$7:T$17,"夜")</f>
        <v/>
      </c>
      <c r="U36" s="246">
        <f>COUNTIF(U$7:U$17,"夜")</f>
        <v/>
      </c>
      <c r="V36" s="246">
        <f>COUNTIF(V$7:V$17,"夜")</f>
        <v/>
      </c>
      <c r="W36" s="246">
        <f>COUNTIF(W$7:W$17,"夜")</f>
        <v/>
      </c>
      <c r="X36" s="246">
        <f>COUNTIF(X$7:X$17,"夜")</f>
        <v/>
      </c>
      <c r="Y36" s="246">
        <f>COUNTIF(Y$7:Y$17,"夜")</f>
        <v/>
      </c>
      <c r="Z36" s="246">
        <f>COUNTIF(Z$7:Z$17,"夜")</f>
        <v/>
      </c>
      <c r="AA36" s="246">
        <f>COUNTIF(AA$7:AA$17,"夜")</f>
        <v/>
      </c>
      <c r="AB36" s="246">
        <f>COUNTIF(AB$7:AB$17,"夜")</f>
        <v/>
      </c>
      <c r="AC36" s="246">
        <f>COUNTIF(AC$7:AC$17,"夜")</f>
        <v/>
      </c>
      <c r="AD36" s="246">
        <f>COUNTIF(AD$7:AD$17,"夜")</f>
        <v/>
      </c>
      <c r="AE36" s="246">
        <f>COUNTIF(AE$7:AE$17,"夜")</f>
        <v/>
      </c>
      <c r="AF36" s="246">
        <f>COUNTIF(AF$7:AF$17,"夜")</f>
        <v/>
      </c>
      <c r="AG36" s="246">
        <f>COUNTIF(AG$7:AG$17,"夜")</f>
        <v/>
      </c>
      <c r="AH36" s="246">
        <f>COUNTIF(AH$7:AH$17,"夜")</f>
        <v/>
      </c>
      <c r="AI36" s="246">
        <f>COUNTIF(AI$7:AI$17,"夜")</f>
        <v/>
      </c>
      <c r="AL36" s="246" t="n"/>
      <c r="AM36" s="246" t="n"/>
      <c r="AN36" s="246" t="n"/>
    </row>
    <row r="37" ht="34.5" customHeight="1" s="447">
      <c r="B37" s="460" t="n"/>
      <c r="C37" s="402" t="inlineStr">
        <is>
          <t>明け(1:00-9:00)</t>
        </is>
      </c>
      <c r="D37" s="474" t="n"/>
      <c r="E37" s="246">
        <f>COUNTIF(E$7:E$17,"明")</f>
        <v/>
      </c>
      <c r="F37" s="246">
        <f>COUNTIF(F$7:F$17,"明")</f>
        <v/>
      </c>
      <c r="G37" s="246">
        <f>COUNTIF(G$7:G$17,"明")</f>
        <v/>
      </c>
      <c r="H37" s="246">
        <f>COUNTIF(H$7:H$17,"明")</f>
        <v/>
      </c>
      <c r="I37" s="246">
        <f>COUNTIF(I$7:I$17,"明")</f>
        <v/>
      </c>
      <c r="J37" s="246">
        <f>COUNTIF(J$7:J$17,"明")</f>
        <v/>
      </c>
      <c r="K37" s="246">
        <f>COUNTIF(K$7:K$17,"明")</f>
        <v/>
      </c>
      <c r="L37" s="246">
        <f>COUNTIF(L$7:L$17,"明")</f>
        <v/>
      </c>
      <c r="M37" s="246">
        <f>COUNTIF(M$7:M$17,"明")</f>
        <v/>
      </c>
      <c r="N37" s="246">
        <f>COUNTIF(N$7:N$17,"明")</f>
        <v/>
      </c>
      <c r="O37" s="246">
        <f>COUNTIF(O$7:O$17,"明")</f>
        <v/>
      </c>
      <c r="P37" s="246">
        <f>COUNTIF(P$7:P$17,"明")</f>
        <v/>
      </c>
      <c r="Q37" s="246">
        <f>COUNTIF(Q$7:Q$17,"明")</f>
        <v/>
      </c>
      <c r="R37" s="246">
        <f>COUNTIF(R$7:R$17,"明")</f>
        <v/>
      </c>
      <c r="S37" s="246">
        <f>COUNTIF(S$7:S$17,"明")</f>
        <v/>
      </c>
      <c r="T37" s="246">
        <f>COUNTIF(T$7:T$17,"明")</f>
        <v/>
      </c>
      <c r="U37" s="246">
        <f>COUNTIF(U$7:U$17,"明")</f>
        <v/>
      </c>
      <c r="V37" s="246">
        <f>COUNTIF(V$7:V$17,"明")</f>
        <v/>
      </c>
      <c r="W37" s="246">
        <f>COUNTIF(W$7:W$17,"明")</f>
        <v/>
      </c>
      <c r="X37" s="246">
        <f>COUNTIF(X$7:X$17,"明")</f>
        <v/>
      </c>
      <c r="Y37" s="246">
        <f>COUNTIF(Y$7:Y$17,"明")</f>
        <v/>
      </c>
      <c r="Z37" s="246">
        <f>COUNTIF(Z$7:Z$17,"明")</f>
        <v/>
      </c>
      <c r="AA37" s="246">
        <f>COUNTIF(AA$7:AA$17,"明")</f>
        <v/>
      </c>
      <c r="AB37" s="246">
        <f>COUNTIF(AB$7:AB$17,"明")</f>
        <v/>
      </c>
      <c r="AC37" s="246">
        <f>COUNTIF(AC$7:AC$17,"明")</f>
        <v/>
      </c>
      <c r="AD37" s="246">
        <f>COUNTIF(AD$7:AD$17,"明")</f>
        <v/>
      </c>
      <c r="AE37" s="246">
        <f>COUNTIF(AE$7:AE$17,"明")</f>
        <v/>
      </c>
      <c r="AF37" s="246">
        <f>COUNTIF(AF$7:AF$17,"明")</f>
        <v/>
      </c>
      <c r="AG37" s="246">
        <f>COUNTIF(AG$7:AG$17,"明")</f>
        <v/>
      </c>
      <c r="AH37" s="246">
        <f>COUNTIF(AH$7:AH$17,"明")</f>
        <v/>
      </c>
      <c r="AI37" s="246">
        <f>COUNTIF(AI$7:AI$17,"明")</f>
        <v/>
      </c>
      <c r="AL37" s="246" t="n"/>
      <c r="AM37" s="246" t="n"/>
      <c r="AN37" s="246" t="n"/>
    </row>
    <row r="38" ht="34.5" customHeight="1" s="447">
      <c r="B38" s="460" t="n"/>
      <c r="C38" s="405" t="inlineStr">
        <is>
          <t>出勤合計</t>
        </is>
      </c>
      <c r="D38" s="474" t="n"/>
      <c r="E38" s="246">
        <f>SUM(E32:E37)</f>
        <v/>
      </c>
      <c r="F38" s="246">
        <f>SUM(F32:F37)</f>
        <v/>
      </c>
      <c r="G38" s="246">
        <f>SUM(G32:G37)</f>
        <v/>
      </c>
      <c r="H38" s="246">
        <f>SUM(H32:H37)</f>
        <v/>
      </c>
      <c r="I38" s="246">
        <f>SUM(I32:I37)</f>
        <v/>
      </c>
      <c r="J38" s="246">
        <f>SUM(J32:J37)</f>
        <v/>
      </c>
      <c r="K38" s="246">
        <f>SUM(K32:K37)</f>
        <v/>
      </c>
      <c r="L38" s="246">
        <f>SUM(L32:L37)</f>
        <v/>
      </c>
      <c r="M38" s="246">
        <f>SUM(M32:M37)</f>
        <v/>
      </c>
      <c r="N38" s="246">
        <f>SUM(N32:N37)</f>
        <v/>
      </c>
      <c r="O38" s="246">
        <f>SUM(O32:O37)</f>
        <v/>
      </c>
      <c r="P38" s="246">
        <f>SUM(P32:P37)</f>
        <v/>
      </c>
      <c r="Q38" s="246">
        <f>SUM(Q32:Q37)</f>
        <v/>
      </c>
      <c r="R38" s="246">
        <f>SUM(R32:R37)</f>
        <v/>
      </c>
      <c r="S38" s="246">
        <f>SUM(S32:S37)</f>
        <v/>
      </c>
      <c r="T38" s="246">
        <f>SUM(T32:T37)</f>
        <v/>
      </c>
      <c r="U38" s="246">
        <f>SUM(U32:U37)</f>
        <v/>
      </c>
      <c r="V38" s="246">
        <f>SUM(V32:V37)</f>
        <v/>
      </c>
      <c r="W38" s="246">
        <f>SUM(W32:W37)</f>
        <v/>
      </c>
      <c r="X38" s="246">
        <f>SUM(X32:X37)</f>
        <v/>
      </c>
      <c r="Y38" s="246">
        <f>SUM(Y32:Y37)</f>
        <v/>
      </c>
      <c r="Z38" s="246">
        <f>SUM(Z32:Z37)</f>
        <v/>
      </c>
      <c r="AA38" s="246">
        <f>SUM(AA32:AA37)</f>
        <v/>
      </c>
      <c r="AB38" s="246">
        <f>SUM(AB32:AB37)</f>
        <v/>
      </c>
      <c r="AC38" s="246">
        <f>SUM(AC32:AC37)</f>
        <v/>
      </c>
      <c r="AD38" s="246">
        <f>SUM(AD32:AD37)</f>
        <v/>
      </c>
      <c r="AE38" s="246">
        <f>SUM(AE32:AE37)</f>
        <v/>
      </c>
      <c r="AF38" s="246">
        <f>SUM(AF32:AF37)</f>
        <v/>
      </c>
      <c r="AG38" s="246">
        <f>SUM(AG32:AG37)</f>
        <v/>
      </c>
      <c r="AH38" s="246">
        <f>SUM(AH32:AH37)</f>
        <v/>
      </c>
      <c r="AI38" s="246">
        <f>SUM(AI32:AI37)</f>
        <v/>
      </c>
      <c r="AL38" s="246" t="n"/>
      <c r="AM38" s="246" t="n"/>
      <c r="AN38" s="246" t="n"/>
    </row>
    <row r="39" ht="34.5" customHeight="1" s="447">
      <c r="B39" s="460" t="n"/>
      <c r="C39" s="405" t="inlineStr">
        <is>
          <t>休日・有給</t>
        </is>
      </c>
      <c r="D39" s="474" t="n"/>
      <c r="E39" s="246">
        <f>COUNTIF(E$7:E$17,"休")+COUNTIF(E$7:E$17,"希")+COUNTIF(E$7:E$17,"有")</f>
        <v/>
      </c>
      <c r="F39" s="246">
        <f>COUNTIF(F$7:F$17,"休")+COUNTIF(F$7:F$17,"希")+COUNTIF(F$7:F$17,"有")</f>
        <v/>
      </c>
      <c r="G39" s="246">
        <f>COUNTIF(G$7:G$17,"休")+COUNTIF(G$7:G$17,"希")+COUNTIF(G$7:G$17,"有")</f>
        <v/>
      </c>
      <c r="H39" s="246">
        <f>COUNTIF(H$7:H$17,"休")+COUNTIF(H$7:H$17,"希")+COUNTIF(H$7:H$17,"有")</f>
        <v/>
      </c>
      <c r="I39" s="246">
        <f>COUNTIF(I$7:I$17,"休")+COUNTIF(I$7:I$17,"希")+COUNTIF(I$7:I$17,"有")</f>
        <v/>
      </c>
      <c r="J39" s="246">
        <f>COUNTIF(J$7:J$17,"休")+COUNTIF(J$7:J$17,"希")+COUNTIF(J$7:J$17,"有")</f>
        <v/>
      </c>
      <c r="K39" s="246">
        <f>COUNTIF(K$7:K$17,"休")+COUNTIF(K$7:K$17,"希")+COUNTIF(K$7:K$17,"有")</f>
        <v/>
      </c>
      <c r="L39" s="246">
        <f>COUNTIF(L$7:L$17,"休")+COUNTIF(L$7:L$17,"希")+COUNTIF(L$7:L$17,"有")</f>
        <v/>
      </c>
      <c r="M39" s="246">
        <f>COUNTIF(M$7:M$17,"休")+COUNTIF(M$7:M$17,"希")+COUNTIF(M$7:M$17,"有")</f>
        <v/>
      </c>
      <c r="N39" s="246">
        <f>COUNTIF(N$7:N$17,"休")+COUNTIF(N$7:N$17,"希")+COUNTIF(N$7:N$17,"有")</f>
        <v/>
      </c>
      <c r="O39" s="246">
        <f>COUNTIF(O$7:O$17,"休")+COUNTIF(O$7:O$17,"希")+COUNTIF(O$7:O$17,"有")</f>
        <v/>
      </c>
      <c r="P39" s="246">
        <f>COUNTIF(P$7:P$17,"休")+COUNTIF(P$7:P$17,"希")+COUNTIF(P$7:P$17,"有")</f>
        <v/>
      </c>
      <c r="Q39" s="246">
        <f>COUNTIF(Q$7:Q$17,"休")+COUNTIF(Q$7:Q$17,"希")+COUNTIF(Q$7:Q$17,"有")</f>
        <v/>
      </c>
      <c r="R39" s="246">
        <f>COUNTIF(R$7:R$17,"休")+COUNTIF(R$7:R$17,"希")+COUNTIF(R$7:R$17,"有")</f>
        <v/>
      </c>
      <c r="S39" s="246">
        <f>COUNTIF(S$7:S$17,"休")+COUNTIF(S$7:S$17,"希")+COUNTIF(S$7:S$17,"有")</f>
        <v/>
      </c>
      <c r="T39" s="246">
        <f>COUNTIF(T$7:T$17,"休")+COUNTIF(T$7:T$17,"希")+COUNTIF(T$7:T$17,"有")</f>
        <v/>
      </c>
      <c r="U39" s="246">
        <f>COUNTIF(U$7:U$17,"休")+COUNTIF(U$7:U$17,"希")+COUNTIF(U$7:U$17,"有")</f>
        <v/>
      </c>
      <c r="V39" s="246">
        <f>COUNTIF(V$7:V$17,"休")+COUNTIF(V$7:V$17,"希")+COUNTIF(V$7:V$17,"有")</f>
        <v/>
      </c>
      <c r="W39" s="246">
        <f>COUNTIF(W$7:W$17,"休")+COUNTIF(W$7:W$17,"希")+COUNTIF(W$7:W$17,"有")</f>
        <v/>
      </c>
      <c r="X39" s="246">
        <f>COUNTIF(X$7:X$17,"休")+COUNTIF(X$7:X$17,"希")+COUNTIF(X$7:X$17,"有")</f>
        <v/>
      </c>
      <c r="Y39" s="246">
        <f>COUNTIF(Y$7:Y$17,"休")+COUNTIF(Y$7:Y$17,"希")+COUNTIF(Y$7:Y$17,"有")</f>
        <v/>
      </c>
      <c r="Z39" s="246">
        <f>COUNTIF(Z$7:Z$17,"休")+COUNTIF(Z$7:Z$17,"希")+COUNTIF(Z$7:Z$17,"有")</f>
        <v/>
      </c>
      <c r="AA39" s="246">
        <f>COUNTIF(AA$7:AA$17,"休")+COUNTIF(AA$7:AA$17,"希")+COUNTIF(AA$7:AA$17,"有")</f>
        <v/>
      </c>
      <c r="AB39" s="246">
        <f>COUNTIF(AB$7:AB$17,"休")+COUNTIF(AB$7:AB$17,"希")+COUNTIF(AB$7:AB$17,"有")</f>
        <v/>
      </c>
      <c r="AC39" s="246">
        <f>COUNTIF(AC$7:AC$17,"休")+COUNTIF(AC$7:AC$17,"希")+COUNTIF(AC$7:AC$17,"有")</f>
        <v/>
      </c>
      <c r="AD39" s="246">
        <f>COUNTIF(AD$7:AD$17,"休")+COUNTIF(AD$7:AD$17,"希")+COUNTIF(AD$7:AD$17,"有")</f>
        <v/>
      </c>
      <c r="AE39" s="246">
        <f>COUNTIF(AE$7:AE$17,"休")+COUNTIF(AE$7:AE$17,"希")+COUNTIF(AE$7:AE$17,"有")</f>
        <v/>
      </c>
      <c r="AF39" s="246">
        <f>COUNTIF(AF$7:AF$17,"休")+COUNTIF(AF$7:AF$17,"希")+COUNTIF(AF$7:AF$17,"有")</f>
        <v/>
      </c>
      <c r="AG39" s="246">
        <f>COUNTIF(AG$7:AG$17,"休")+COUNTIF(AG$7:AG$17,"希")+COUNTIF(AG$7:AG$17,"有")</f>
        <v/>
      </c>
      <c r="AH39" s="246">
        <f>COUNTIF(AH$7:AH$17,"休")+COUNTIF(AH$7:AH$17,"希")+COUNTIF(AH$7:AH$17,"有")</f>
        <v/>
      </c>
      <c r="AI39" s="246">
        <f>COUNTIF(AI$7:AI$17,"休")+COUNTIF(AI$7:AI$17,"希")+COUNTIF(AI$7:AI$17,"有")</f>
        <v/>
      </c>
      <c r="AL39" s="246" t="n"/>
      <c r="AM39" s="246" t="n"/>
      <c r="AN39" s="246" t="n"/>
    </row>
    <row r="40" ht="34.5" customHeight="1" s="447" thickBot="1">
      <c r="B40" s="461" t="n"/>
      <c r="C40" s="407" t="inlineStr">
        <is>
          <t>シフト成立</t>
        </is>
      </c>
      <c r="D40" s="479" t="n"/>
      <c r="E40" s="277">
        <f>IF(OR(AND(E36&gt;0,E37&gt;0,E33&gt;0,E34&gt;0),AND(E36&gt;0,E37&gt;0,E34&gt;0,E35&gt;0),AND(E36&gt;0,E37&gt;0,E32&gt;0,E34&gt;0)),"成立",IF(OR(AND(E36&gt;0,E37&gt;0,E32&gt;0),AND(E36&gt;0,E37&gt;0,E35&gt;0)),"30分残業","不成立"))</f>
        <v/>
      </c>
      <c r="F40" s="277">
        <f>IF(OR(AND(F36&gt;0,F37&gt;0,F33&gt;0,F34&gt;0),AND(F36&gt;0,F37&gt;0,F34&gt;0,F35&gt;0),AND(F36&gt;0,F37&gt;0,F32&gt;0,F34&gt;0)),"成立",IF(OR(AND(F36&gt;0,F37&gt;0,F32&gt;0),AND(F36&gt;0,F37&gt;0,F35&gt;0)),"30分残業","不成立"))</f>
        <v/>
      </c>
      <c r="G40" s="277">
        <f>IF(OR(AND(G36&gt;0,G37&gt;0,G33&gt;0,G34&gt;0),AND(G36&gt;0,G37&gt;0,G34&gt;0,G35&gt;0),AND(G36&gt;0,G37&gt;0,G32&gt;0,G34&gt;0)),"成立",IF(OR(AND(G36&gt;0,G37&gt;0,G32&gt;0),AND(G36&gt;0,G37&gt;0,G35&gt;0)),"30分残業","不成立"))</f>
        <v/>
      </c>
      <c r="H40" s="277">
        <f>IF(OR(AND(H36&gt;0,H37&gt;0,H33&gt;0,H34&gt;0),AND(H36&gt;0,H37&gt;0,H34&gt;0,H35&gt;0),AND(H36&gt;0,H37&gt;0,H32&gt;0,H34&gt;0)),"成立",IF(OR(AND(H36&gt;0,H37&gt;0,H32&gt;0),AND(H36&gt;0,H37&gt;0,H35&gt;0)),"30分残業","不成立"))</f>
        <v/>
      </c>
      <c r="I40" s="277">
        <f>IF(OR(AND(I36&gt;0,I37&gt;0,I33&gt;0,I34&gt;0),AND(I36&gt;0,I37&gt;0,I34&gt;0,I35&gt;0),AND(I36&gt;0,I37&gt;0,I32&gt;0,I34&gt;0)),"成立",IF(OR(AND(I36&gt;0,I37&gt;0,I32&gt;0),AND(I36&gt;0,I37&gt;0,I35&gt;0)),"30分残業","不成立"))</f>
        <v/>
      </c>
      <c r="J40" s="277">
        <f>IF(OR(AND(J36&gt;0,J37&gt;0,J33&gt;0,J34&gt;0),AND(J36&gt;0,J37&gt;0,J34&gt;0,J35&gt;0),AND(J36&gt;0,J37&gt;0,J32&gt;0,J34&gt;0)),"成立",IF(OR(AND(J36&gt;0,J37&gt;0,J32&gt;0),AND(J36&gt;0,J37&gt;0,J35&gt;0)),"30分残業","不成立"))</f>
        <v/>
      </c>
      <c r="K40" s="277">
        <f>IF(OR(AND(K36&gt;0,K37&gt;0,K33&gt;0,K34&gt;0),AND(K36&gt;0,K37&gt;0,K34&gt;0,K35&gt;0),AND(K36&gt;0,K37&gt;0,K32&gt;0,K34&gt;0)),"成立",IF(OR(AND(K36&gt;0,K37&gt;0,K32&gt;0),AND(K36&gt;0,K37&gt;0,K35&gt;0)),"30分残業","不成立"))</f>
        <v/>
      </c>
      <c r="L40" s="277">
        <f>IF(OR(AND(L36&gt;0,L37&gt;0,L33&gt;0,L34&gt;0),AND(L36&gt;0,L37&gt;0,L34&gt;0,L35&gt;0),AND(L36&gt;0,L37&gt;0,L32&gt;0,L34&gt;0)),"成立",IF(OR(AND(L36&gt;0,L37&gt;0,L32&gt;0),AND(L36&gt;0,L37&gt;0,L35&gt;0)),"30分残業","不成立"))</f>
        <v/>
      </c>
      <c r="M40" s="277">
        <f>IF(OR(AND(M36&gt;0,M37&gt;0,M33&gt;0,M34&gt;0),AND(M36&gt;0,M37&gt;0,M34&gt;0,M35&gt;0),AND(M36&gt;0,M37&gt;0,M32&gt;0,M34&gt;0)),"成立",IF(OR(AND(M36&gt;0,M37&gt;0,M32&gt;0),AND(M36&gt;0,M37&gt;0,M35&gt;0)),"30分残業","不成立"))</f>
        <v/>
      </c>
      <c r="N40" s="277">
        <f>IF(OR(AND(N36&gt;0,N37&gt;0,N33&gt;0,N34&gt;0),AND(N36&gt;0,N37&gt;0,N34&gt;0,N35&gt;0),AND(N36&gt;0,N37&gt;0,N32&gt;0,N34&gt;0)),"成立",IF(OR(AND(N36&gt;0,N37&gt;0,N32&gt;0),AND(N36&gt;0,N37&gt;0,N35&gt;0)),"30分残業","不成立"))</f>
        <v/>
      </c>
      <c r="O40" s="277">
        <f>IF(OR(AND(O36&gt;0,O37&gt;0,O33&gt;0,O34&gt;0),AND(O36&gt;0,O37&gt;0,O34&gt;0,O35&gt;0),AND(O36&gt;0,O37&gt;0,O32&gt;0,O34&gt;0)),"成立",IF(OR(AND(O36&gt;0,O37&gt;0,O32&gt;0),AND(O36&gt;0,O37&gt;0,O35&gt;0)),"30分残業","不成立"))</f>
        <v/>
      </c>
      <c r="P40" s="277">
        <f>IF(OR(AND(P36&gt;0,P37&gt;0,P33&gt;0,P34&gt;0),AND(P36&gt;0,P37&gt;0,P34&gt;0,P35&gt;0),AND(P36&gt;0,P37&gt;0,P32&gt;0,P34&gt;0)),"成立",IF(OR(AND(P36&gt;0,P37&gt;0,P32&gt;0),AND(P36&gt;0,P37&gt;0,P35&gt;0)),"30分残業","不成立"))</f>
        <v/>
      </c>
      <c r="Q40" s="277">
        <f>IF(OR(AND(Q36&gt;0,Q37&gt;0,Q33&gt;0,Q34&gt;0),AND(Q36&gt;0,Q37&gt;0,Q34&gt;0,Q35&gt;0),AND(Q36&gt;0,Q37&gt;0,Q32&gt;0,Q34&gt;0)),"成立",IF(OR(AND(Q36&gt;0,Q37&gt;0,Q32&gt;0),AND(Q36&gt;0,Q37&gt;0,Q35&gt;0)),"30分残業","不成立"))</f>
        <v/>
      </c>
      <c r="R40" s="277">
        <f>IF(OR(AND(R36&gt;0,R37&gt;0,R33&gt;0,R34&gt;0),AND(R36&gt;0,R37&gt;0,R34&gt;0,R35&gt;0),AND(R36&gt;0,R37&gt;0,R32&gt;0,R34&gt;0)),"成立",IF(OR(AND(R36&gt;0,R37&gt;0,R32&gt;0),AND(R36&gt;0,R37&gt;0,R35&gt;0)),"30分残業","不成立"))</f>
        <v/>
      </c>
      <c r="S40" s="277">
        <f>IF(OR(AND(S36&gt;0,S37&gt;0,S33&gt;0,S34&gt;0),AND(S36&gt;0,S37&gt;0,S34&gt;0,S35&gt;0),AND(S36&gt;0,S37&gt;0,S32&gt;0,S34&gt;0)),"成立",IF(OR(AND(S36&gt;0,S37&gt;0,S32&gt;0),AND(S36&gt;0,S37&gt;0,S35&gt;0)),"30分残業","不成立"))</f>
        <v/>
      </c>
      <c r="T40" s="277">
        <f>IF(OR(AND(T36&gt;0,T37&gt;0,T33&gt;0,T34&gt;0),AND(T36&gt;0,T37&gt;0,T34&gt;0,T35&gt;0),AND(T36&gt;0,T37&gt;0,T32&gt;0,T34&gt;0)),"成立",IF(OR(AND(T36&gt;0,T37&gt;0,T32&gt;0),AND(T36&gt;0,T37&gt;0,T35&gt;0)),"30分残業","不成立"))</f>
        <v/>
      </c>
      <c r="U40" s="277">
        <f>IF(OR(AND(U36&gt;0,U37&gt;0,U33&gt;0,U34&gt;0),AND(U36&gt;0,U37&gt;0,U34&gt;0,U35&gt;0),AND(U36&gt;0,U37&gt;0,U32&gt;0,U34&gt;0)),"成立",IF(OR(AND(U36&gt;0,U37&gt;0,U32&gt;0),AND(U36&gt;0,U37&gt;0,U35&gt;0)),"30分残業","不成立"))</f>
        <v/>
      </c>
      <c r="V40" s="277">
        <f>IF(OR(AND(V36&gt;0,V37&gt;0,V33&gt;0,V34&gt;0),AND(V36&gt;0,V37&gt;0,V34&gt;0,V35&gt;0),AND(V36&gt;0,V37&gt;0,V32&gt;0,V34&gt;0)),"成立",IF(OR(AND(V36&gt;0,V37&gt;0,V32&gt;0),AND(V36&gt;0,V37&gt;0,V35&gt;0)),"30分残業","不成立"))</f>
        <v/>
      </c>
      <c r="W40" s="277">
        <f>IF(OR(AND(W36&gt;0,W37&gt;0,W33&gt;0,W34&gt;0),AND(W36&gt;0,W37&gt;0,W34&gt;0,W35&gt;0),AND(W36&gt;0,W37&gt;0,W32&gt;0,W34&gt;0)),"成立",IF(OR(AND(W36&gt;0,W37&gt;0,W32&gt;0),AND(W36&gt;0,W37&gt;0,W35&gt;0)),"30分残業","不成立"))</f>
        <v/>
      </c>
      <c r="X40" s="277">
        <f>IF(OR(AND(X36&gt;0,X37&gt;0,X33&gt;0,X34&gt;0),AND(X36&gt;0,X37&gt;0,X34&gt;0,X35&gt;0),AND(X36&gt;0,X37&gt;0,X32&gt;0,X34&gt;0)),"成立",IF(OR(AND(X36&gt;0,X37&gt;0,X32&gt;0),AND(X36&gt;0,X37&gt;0,X35&gt;0)),"30分残業","不成立"))</f>
        <v/>
      </c>
      <c r="Y40" s="277">
        <f>IF(OR(AND(Y36&gt;0,Y37&gt;0,Y33&gt;0,Y34&gt;0),AND(Y36&gt;0,Y37&gt;0,Y34&gt;0,Y35&gt;0),AND(Y36&gt;0,Y37&gt;0,Y32&gt;0,Y34&gt;0)),"成立",IF(OR(AND(Y36&gt;0,Y37&gt;0,Y32&gt;0),AND(Y36&gt;0,Y37&gt;0,Y35&gt;0)),"30分残業","不成立"))</f>
        <v/>
      </c>
      <c r="Z40" s="277">
        <f>IF(OR(AND(Z36&gt;0,Z37&gt;0,Z33&gt;0,Z34&gt;0),AND(Z36&gt;0,Z37&gt;0,Z34&gt;0,Z35&gt;0),AND(Z36&gt;0,Z37&gt;0,Z32&gt;0,Z34&gt;0)),"成立",IF(OR(AND(Z36&gt;0,Z37&gt;0,Z32&gt;0),AND(Z36&gt;0,Z37&gt;0,Z35&gt;0)),"30分残業","不成立"))</f>
        <v/>
      </c>
      <c r="AA40" s="277">
        <f>IF(OR(AND(AA36&gt;0,AA37&gt;0,AA33&gt;0,AA34&gt;0),AND(AA36&gt;0,AA37&gt;0,AA34&gt;0,AA35&gt;0),AND(AA36&gt;0,AA37&gt;0,AA32&gt;0,AA34&gt;0)),"成立",IF(OR(AND(AA36&gt;0,AA37&gt;0,AA32&gt;0),AND(AA36&gt;0,AA37&gt;0,AA35&gt;0)),"30分残業","不成立"))</f>
        <v/>
      </c>
      <c r="AB40" s="277">
        <f>IF(OR(AND(AB36&gt;0,AB37&gt;0,AB33&gt;0,AB34&gt;0),AND(AB36&gt;0,AB37&gt;0,AB34&gt;0,AB35&gt;0),AND(AB36&gt;0,AB37&gt;0,AB32&gt;0,AB34&gt;0)),"成立",IF(OR(AND(AB36&gt;0,AB37&gt;0,AB32&gt;0),AND(AB36&gt;0,AB37&gt;0,AB35&gt;0)),"30分残業","不成立"))</f>
        <v/>
      </c>
      <c r="AC40" s="277">
        <f>IF(OR(AND(AC36&gt;0,AC37&gt;0,AC33&gt;0,AC34&gt;0),AND(AC36&gt;0,AC37&gt;0,AC34&gt;0,AC35&gt;0),AND(AC36&gt;0,AC37&gt;0,AC32&gt;0,AC34&gt;0)),"成立",IF(OR(AND(AC36&gt;0,AC37&gt;0,AC32&gt;0),AND(AC36&gt;0,AC37&gt;0,AC35&gt;0)),"30分残業","不成立"))</f>
        <v/>
      </c>
      <c r="AD40" s="277">
        <f>IF(OR(AND(AD36&gt;0,AD37&gt;0,AD33&gt;0,AD34&gt;0),AND(AD36&gt;0,AD37&gt;0,AD34&gt;0,AD35&gt;0),AND(AD36&gt;0,AD37&gt;0,AD32&gt;0,AD34&gt;0)),"成立",IF(OR(AND(AD36&gt;0,AD37&gt;0,AD32&gt;0),AND(AD36&gt;0,AD37&gt;0,AD35&gt;0)),"30分残業","不成立"))</f>
        <v/>
      </c>
      <c r="AE40" s="277">
        <f>IF(OR(AND(AE36&gt;0,AE37&gt;0,AE33&gt;0,AE34&gt;0),AND(AE36&gt;0,AE37&gt;0,AE34&gt;0,AE35&gt;0),AND(AE36&gt;0,AE37&gt;0,AE32&gt;0,AE34&gt;0)),"成立",IF(OR(AND(AE36&gt;0,AE37&gt;0,AE32&gt;0),AND(AE36&gt;0,AE37&gt;0,AE35&gt;0)),"30分残業","不成立"))</f>
        <v/>
      </c>
      <c r="AF40" s="277">
        <f>IF(OR(AND(AF36&gt;0,AF37&gt;0,AF33&gt;0,AF34&gt;0),AND(AF36&gt;0,AF37&gt;0,AF34&gt;0,AF35&gt;0),AND(AF36&gt;0,AF37&gt;0,AF32&gt;0,AF34&gt;0)),"成立",IF(OR(AND(AF36&gt;0,AF37&gt;0,AF32&gt;0),AND(AF36&gt;0,AF37&gt;0,AF35&gt;0)),"30分残業","不成立"))</f>
        <v/>
      </c>
      <c r="AG40" s="277">
        <f>IF(OR(AND(AG36&gt;0,AG37&gt;0,AG33&gt;0,AG34&gt;0),AND(AG36&gt;0,AG37&gt;0,AG34&gt;0,AG35&gt;0),AND(AG36&gt;0,AG37&gt;0,AG32&gt;0,AG34&gt;0)),"成立",IF(OR(AND(AG36&gt;0,AG37&gt;0,AG32&gt;0),AND(AG36&gt;0,AG37&gt;0,AG35&gt;0)),"30分残業","不成立"))</f>
        <v/>
      </c>
      <c r="AH40" s="277">
        <f>IF(OR(AND(AH36&gt;0,AH37&gt;0,AH33&gt;0,AH34&gt;0),AND(AH36&gt;0,AH37&gt;0,AH34&gt;0,AH35&gt;0),AND(AH36&gt;0,AH37&gt;0,AH32&gt;0,AH34&gt;0)),"成立",IF(OR(AND(AH36&gt;0,AH37&gt;0,AH32&gt;0),AND(AH36&gt;0,AH37&gt;0,AH35&gt;0)),"30分残業","不成立"))</f>
        <v/>
      </c>
      <c r="AI40" s="442">
        <f>IF(OR(AND(AI36&gt;0,AI37&gt;0,AI33&gt;0,AI34&gt;0),AND(AI36&gt;0,AI37&gt;0,AI34&gt;0,AI35&gt;0)),"成立",IF(OR(AND(AI36&gt;0,AI37&gt;0,AI32&gt;0,AI34&gt;0),AND(AI36&gt;0,AI37&gt;0,AI32&gt;0),AND(AI36&gt;0,AI37&gt;0,AI35&gt;0)),"30分残業","不成立"))</f>
        <v/>
      </c>
      <c r="AL40" s="246" t="n"/>
      <c r="AM40" s="246" t="n"/>
      <c r="AN40" s="246" t="n"/>
    </row>
    <row r="41" ht="25.5" customHeight="1" s="447">
      <c r="B41" s="177" t="n"/>
      <c r="C41" s="177" t="n"/>
      <c r="D41" s="177" t="n"/>
      <c r="E41" s="242" t="n"/>
      <c r="F41" s="243" t="n"/>
      <c r="G41" s="242" t="n"/>
      <c r="H41" s="242" t="n"/>
      <c r="I41" s="242" t="n"/>
      <c r="J41" s="242" t="n"/>
      <c r="K41" s="177" t="n"/>
      <c r="L41" s="177" t="n"/>
      <c r="M41" s="177" t="n"/>
      <c r="N41" s="177" t="n"/>
      <c r="O41" s="177" t="n"/>
      <c r="P41" s="177" t="n"/>
      <c r="Q41" s="177" t="n"/>
      <c r="R41" s="177" t="n"/>
      <c r="S41" s="177" t="n"/>
      <c r="T41" s="177" t="n"/>
      <c r="U41" s="177" t="n"/>
      <c r="V41" s="177" t="n"/>
      <c r="W41" s="177" t="n"/>
      <c r="X41" s="177" t="n"/>
      <c r="Y41" s="177" t="n"/>
      <c r="Z41" s="177" t="n"/>
      <c r="AA41" s="177" t="n"/>
      <c r="AB41" s="177" t="n"/>
      <c r="AC41" s="177" t="n"/>
      <c r="AD41" s="177" t="n"/>
      <c r="AE41" s="177" t="n"/>
      <c r="AF41" s="177" t="n"/>
      <c r="AG41" s="177" t="n"/>
      <c r="AH41" s="177" t="n"/>
      <c r="AI41" s="177" t="n"/>
    </row>
    <row r="42" ht="36" customHeight="1" s="447" thickBot="1"/>
    <row r="43" ht="35.25" customHeight="1" s="447">
      <c r="B43" s="391" t="inlineStr">
        <is>
          <t>介護関連職員出勤数</t>
        </is>
      </c>
      <c r="C43" s="400" t="inlineStr">
        <is>
          <t>A(9:30-17:30)</t>
        </is>
      </c>
      <c r="D43" s="481" t="n"/>
      <c r="E43" s="246">
        <f>COUNTIF(E$6:E$21,"A")</f>
        <v/>
      </c>
      <c r="F43" s="246">
        <f>COUNTIF(F$6:F$21,"A")</f>
        <v/>
      </c>
      <c r="G43" s="246">
        <f>COUNTIF(G$6:G$21,"A")</f>
        <v/>
      </c>
      <c r="H43" s="246">
        <f>COUNTIF(H$6:H$21,"A")</f>
        <v/>
      </c>
      <c r="I43" s="246">
        <f>COUNTIF(I$6:I$21,"A")</f>
        <v/>
      </c>
      <c r="J43" s="246">
        <f>COUNTIF(J$6:J$21,"A")</f>
        <v/>
      </c>
      <c r="K43" s="246">
        <f>COUNTIF(K$6:K$21,"A")</f>
        <v/>
      </c>
      <c r="L43" s="246">
        <f>COUNTIF(L$6:L$21,"A")</f>
        <v/>
      </c>
      <c r="M43" s="246">
        <f>COUNTIF(M$6:M$21,"A")</f>
        <v/>
      </c>
      <c r="N43" s="246">
        <f>COUNTIF(N$6:N$21,"A")</f>
        <v/>
      </c>
      <c r="O43" s="246">
        <f>COUNTIF(O$6:O$21,"A")</f>
        <v/>
      </c>
      <c r="P43" s="246">
        <f>COUNTIF(P$6:P$21,"A")</f>
        <v/>
      </c>
      <c r="Q43" s="246">
        <f>COUNTIF(Q$6:Q$21,"A")</f>
        <v/>
      </c>
      <c r="R43" s="246">
        <f>COUNTIF(R$6:R$21,"A")</f>
        <v/>
      </c>
      <c r="S43" s="246">
        <f>COUNTIF(S$6:S$21,"A")</f>
        <v/>
      </c>
      <c r="T43" s="246">
        <f>COUNTIF(T$6:T$21,"A")</f>
        <v/>
      </c>
      <c r="U43" s="246">
        <f>COUNTIF(U$6:U$21,"A")</f>
        <v/>
      </c>
      <c r="V43" s="246">
        <f>COUNTIF(V$6:V$21,"A")</f>
        <v/>
      </c>
      <c r="W43" s="246">
        <f>COUNTIF(W$6:W$21,"A")</f>
        <v/>
      </c>
      <c r="X43" s="246">
        <f>COUNTIF(X$6:X$21,"A")</f>
        <v/>
      </c>
      <c r="Y43" s="246">
        <f>COUNTIF(Y$6:Y$21,"A")</f>
        <v/>
      </c>
      <c r="Z43" s="246">
        <f>COUNTIF(Z$6:Z$21,"A")</f>
        <v/>
      </c>
      <c r="AA43" s="246">
        <f>COUNTIF(AA$6:AA$21,"A")</f>
        <v/>
      </c>
      <c r="AB43" s="246">
        <f>COUNTIF(AB$6:AB$21,"A")</f>
        <v/>
      </c>
      <c r="AC43" s="246">
        <f>COUNTIF(AC$6:AC$21,"A")</f>
        <v/>
      </c>
      <c r="AD43" s="246">
        <f>COUNTIF(AD$6:AD$21,"A")</f>
        <v/>
      </c>
      <c r="AE43" s="246">
        <f>COUNTIF(AE$6:AE$21,"A")</f>
        <v/>
      </c>
      <c r="AF43" s="246">
        <f>COUNTIF(AF$6:AF$21,"A")</f>
        <v/>
      </c>
      <c r="AG43" s="246">
        <f>COUNTIF(AG$6:AG$21,"A")</f>
        <v/>
      </c>
      <c r="AH43" s="246">
        <f>COUNTIF(AH$6:AH$21,"A")</f>
        <v/>
      </c>
      <c r="AI43" s="246">
        <f>COUNTIF(AI$6:AI$21,"A")</f>
        <v/>
      </c>
    </row>
    <row r="44" ht="39.75" customHeight="1" s="447">
      <c r="B44" s="460" t="n"/>
      <c r="C44" s="402" t="inlineStr">
        <is>
          <t>B(7:00-16:00)</t>
        </is>
      </c>
      <c r="D44" s="474" t="n"/>
      <c r="E44" s="246">
        <f>COUNTIF(E$6:E$21,"B")</f>
        <v/>
      </c>
      <c r="F44" s="246">
        <f>COUNTIF(F$6:F$21,"B")</f>
        <v/>
      </c>
      <c r="G44" s="246">
        <f>COUNTIF(G$6:G$21,"B")</f>
        <v/>
      </c>
      <c r="H44" s="246">
        <f>COUNTIF(H$6:H$21,"B")</f>
        <v/>
      </c>
      <c r="I44" s="246">
        <f>COUNTIF(I$6:I$21,"B")</f>
        <v/>
      </c>
      <c r="J44" s="246">
        <f>COUNTIF(J$6:J$21,"B")</f>
        <v/>
      </c>
      <c r="K44" s="246">
        <f>COUNTIF(K$6:K$21,"B")</f>
        <v/>
      </c>
      <c r="L44" s="246">
        <f>COUNTIF(L$6:L$21,"B")</f>
        <v/>
      </c>
      <c r="M44" s="246">
        <f>COUNTIF(M$6:M$21,"B")</f>
        <v/>
      </c>
      <c r="N44" s="246">
        <f>COUNTIF(N$6:N$21,"B")</f>
        <v/>
      </c>
      <c r="O44" s="246">
        <f>COUNTIF(O$6:O$21,"B")</f>
        <v/>
      </c>
      <c r="P44" s="246">
        <f>COUNTIF(P$6:P$21,"B")</f>
        <v/>
      </c>
      <c r="Q44" s="246">
        <f>COUNTIF(Q$6:Q$21,"B")</f>
        <v/>
      </c>
      <c r="R44" s="246">
        <f>COUNTIF(R$6:R$21,"B")</f>
        <v/>
      </c>
      <c r="S44" s="246">
        <f>COUNTIF(S$6:S$21,"B")</f>
        <v/>
      </c>
      <c r="T44" s="246">
        <f>COUNTIF(T$6:T$21,"B")</f>
        <v/>
      </c>
      <c r="U44" s="246">
        <f>COUNTIF(U$6:U$21,"B")</f>
        <v/>
      </c>
      <c r="V44" s="246">
        <f>COUNTIF(V$6:V$21,"B")</f>
        <v/>
      </c>
      <c r="W44" s="246">
        <f>COUNTIF(W$6:W$21,"B")</f>
        <v/>
      </c>
      <c r="X44" s="246">
        <f>COUNTIF(X$6:X$21,"B")</f>
        <v/>
      </c>
      <c r="Y44" s="246">
        <f>COUNTIF(Y$6:Y$21,"B")</f>
        <v/>
      </c>
      <c r="Z44" s="246">
        <f>COUNTIF(Z$6:Z$21,"B")</f>
        <v/>
      </c>
      <c r="AA44" s="246">
        <f>COUNTIF(AA$6:AA$21,"B")</f>
        <v/>
      </c>
      <c r="AB44" s="246">
        <f>COUNTIF(AB$6:AB$21,"B")</f>
        <v/>
      </c>
      <c r="AC44" s="246">
        <f>COUNTIF(AC$6:AC$21,"B")</f>
        <v/>
      </c>
      <c r="AD44" s="246">
        <f>COUNTIF(AD$6:AD$21,"B")</f>
        <v/>
      </c>
      <c r="AE44" s="246">
        <f>COUNTIF(AE$6:AE$21,"B")</f>
        <v/>
      </c>
      <c r="AF44" s="246">
        <f>COUNTIF(AF$6:AF$21,"B")</f>
        <v/>
      </c>
      <c r="AG44" s="246">
        <f>COUNTIF(AG$6:AG$21,"B")</f>
        <v/>
      </c>
      <c r="AH44" s="246">
        <f>COUNTIF(AH$6:AH$21,"B")</f>
        <v/>
      </c>
      <c r="AI44" s="246">
        <f>COUNTIF(AI$6:AI$21,"B")</f>
        <v/>
      </c>
    </row>
    <row r="45" ht="29.25" customHeight="1" s="447">
      <c r="B45" s="460" t="n"/>
      <c r="C45" s="402" t="inlineStr">
        <is>
          <t>C(12:30-20:30)</t>
        </is>
      </c>
      <c r="D45" s="474" t="n"/>
      <c r="E45" s="246">
        <f>COUNTIF(E$6:E$21,"C")</f>
        <v/>
      </c>
      <c r="F45" s="246">
        <f>COUNTIF(F$6:F$21,"C")</f>
        <v/>
      </c>
      <c r="G45" s="246">
        <f>COUNTIF(G$6:G$21,"C")</f>
        <v/>
      </c>
      <c r="H45" s="246">
        <f>COUNTIF(H$6:H$21,"C")</f>
        <v/>
      </c>
      <c r="I45" s="246">
        <f>COUNTIF(I$6:I$21,"C")</f>
        <v/>
      </c>
      <c r="J45" s="246">
        <f>COUNTIF(J$6:J$21,"C")</f>
        <v/>
      </c>
      <c r="K45" s="246">
        <f>COUNTIF(K$6:K$21,"C")</f>
        <v/>
      </c>
      <c r="L45" s="246">
        <f>COUNTIF(L$6:L$21,"C")</f>
        <v/>
      </c>
      <c r="M45" s="246">
        <f>COUNTIF(M$6:M$21,"C")</f>
        <v/>
      </c>
      <c r="N45" s="246">
        <f>COUNTIF(N$6:N$21,"C")</f>
        <v/>
      </c>
      <c r="O45" s="246">
        <f>COUNTIF(O$6:O$21,"C")</f>
        <v/>
      </c>
      <c r="P45" s="246">
        <f>COUNTIF(P$6:P$21,"C")</f>
        <v/>
      </c>
      <c r="Q45" s="246">
        <f>COUNTIF(Q$6:Q$21,"C")</f>
        <v/>
      </c>
      <c r="R45" s="246">
        <f>COUNTIF(R$6:R$21,"C")</f>
        <v/>
      </c>
      <c r="S45" s="246">
        <f>COUNTIF(S$6:S$21,"C")</f>
        <v/>
      </c>
      <c r="T45" s="246">
        <f>COUNTIF(T$6:T$21,"C")</f>
        <v/>
      </c>
      <c r="U45" s="246">
        <f>COUNTIF(U$6:U$21,"C")</f>
        <v/>
      </c>
      <c r="V45" s="246">
        <f>COUNTIF(V$6:V$21,"C")</f>
        <v/>
      </c>
      <c r="W45" s="246">
        <f>COUNTIF(W$6:W$21,"C")</f>
        <v/>
      </c>
      <c r="X45" s="246">
        <f>COUNTIF(X$6:X$21,"C")</f>
        <v/>
      </c>
      <c r="Y45" s="246">
        <f>COUNTIF(Y$6:Y$21,"C")</f>
        <v/>
      </c>
      <c r="Z45" s="246">
        <f>COUNTIF(Z$6:Z$21,"C")</f>
        <v/>
      </c>
      <c r="AA45" s="246">
        <f>COUNTIF(AA$6:AA$21,"C")</f>
        <v/>
      </c>
      <c r="AB45" s="246">
        <f>COUNTIF(AB$6:AB$21,"C")</f>
        <v/>
      </c>
      <c r="AC45" s="246">
        <f>COUNTIF(AC$6:AC$21,"C")</f>
        <v/>
      </c>
      <c r="AD45" s="246">
        <f>COUNTIF(AD$6:AD$21,"C")</f>
        <v/>
      </c>
      <c r="AE45" s="246">
        <f>COUNTIF(AE$6:AE$21,"C")</f>
        <v/>
      </c>
      <c r="AF45" s="246">
        <f>COUNTIF(AF$6:AF$21,"C")</f>
        <v/>
      </c>
      <c r="AG45" s="246">
        <f>COUNTIF(AG$6:AG$21,"C")</f>
        <v/>
      </c>
      <c r="AH45" s="246">
        <f>COUNTIF(AH$6:AH$21,"C")</f>
        <v/>
      </c>
      <c r="AI45" s="246">
        <f>COUNTIF(AI$6:AI$21,"C")</f>
        <v/>
      </c>
    </row>
    <row r="46" ht="29.25" customHeight="1" s="447">
      <c r="B46" s="460" t="n"/>
      <c r="C46" s="402" t="inlineStr">
        <is>
          <t>D(8:30-16:30)</t>
        </is>
      </c>
      <c r="D46" s="474" t="n"/>
      <c r="E46" s="246">
        <f>COUNTIF(E$6:E$21,"D")</f>
        <v/>
      </c>
      <c r="F46" s="246">
        <f>COUNTIF(F$6:F$21,"D")</f>
        <v/>
      </c>
      <c r="G46" s="246">
        <f>COUNTIF(G$6:G$21,"D")</f>
        <v/>
      </c>
      <c r="H46" s="246">
        <f>COUNTIF(H$6:H$21,"D")</f>
        <v/>
      </c>
      <c r="I46" s="246">
        <f>COUNTIF(I$6:I$21,"D")</f>
        <v/>
      </c>
      <c r="J46" s="246">
        <f>COUNTIF(J$6:J$21,"D")</f>
        <v/>
      </c>
      <c r="K46" s="246">
        <f>COUNTIF(K$6:K$21,"D")</f>
        <v/>
      </c>
      <c r="L46" s="246">
        <f>COUNTIF(L$6:L$21,"D")</f>
        <v/>
      </c>
      <c r="M46" s="246">
        <f>COUNTIF(M$6:M$21,"D")</f>
        <v/>
      </c>
      <c r="N46" s="246">
        <f>COUNTIF(N$6:N$21,"D")</f>
        <v/>
      </c>
      <c r="O46" s="246">
        <f>COUNTIF(O$6:O$21,"D")</f>
        <v/>
      </c>
      <c r="P46" s="246">
        <f>COUNTIF(P$6:P$21,"D")</f>
        <v/>
      </c>
      <c r="Q46" s="246">
        <f>COUNTIF(Q$6:Q$21,"D")</f>
        <v/>
      </c>
      <c r="R46" s="246">
        <f>COUNTIF(R$6:R$21,"D")</f>
        <v/>
      </c>
      <c r="S46" s="246">
        <f>COUNTIF(S$6:S$21,"D")</f>
        <v/>
      </c>
      <c r="T46" s="246">
        <f>COUNTIF(T$6:T$21,"D")</f>
        <v/>
      </c>
      <c r="U46" s="246">
        <f>COUNTIF(U$6:U$21,"D")</f>
        <v/>
      </c>
      <c r="V46" s="246">
        <f>COUNTIF(V$6:V$21,"D")</f>
        <v/>
      </c>
      <c r="W46" s="246">
        <f>COUNTIF(W$6:W$21,"D")</f>
        <v/>
      </c>
      <c r="X46" s="246">
        <f>COUNTIF(X$6:X$21,"D")</f>
        <v/>
      </c>
      <c r="Y46" s="246">
        <f>COUNTIF(Y$6:Y$21,"D")</f>
        <v/>
      </c>
      <c r="Z46" s="246">
        <f>COUNTIF(Z$6:Z$21,"D")</f>
        <v/>
      </c>
      <c r="AA46" s="246">
        <f>COUNTIF(AA$6:AA$21,"D")</f>
        <v/>
      </c>
      <c r="AB46" s="246">
        <f>COUNTIF(AB$6:AB$21,"D")</f>
        <v/>
      </c>
      <c r="AC46" s="246">
        <f>COUNTIF(AC$6:AC$21,"D")</f>
        <v/>
      </c>
      <c r="AD46" s="246">
        <f>COUNTIF(AD$6:AD$21,"D")</f>
        <v/>
      </c>
      <c r="AE46" s="246">
        <f>COUNTIF(AE$6:AE$21,"D")</f>
        <v/>
      </c>
      <c r="AF46" s="246">
        <f>COUNTIF(AF$6:AF$21,"D")</f>
        <v/>
      </c>
      <c r="AG46" s="246">
        <f>COUNTIF(AG$6:AG$21,"D")</f>
        <v/>
      </c>
      <c r="AH46" s="246">
        <f>COUNTIF(AH$6:AH$21,"D")</f>
        <v/>
      </c>
      <c r="AI46" s="246">
        <f>COUNTIF(AI$6:AI$21,"D")</f>
        <v/>
      </c>
    </row>
    <row r="47" ht="29.25" customHeight="1" s="447">
      <c r="B47" s="460" t="n"/>
      <c r="C47" s="402" t="inlineStr">
        <is>
          <t>E(8:10-17:10)</t>
        </is>
      </c>
      <c r="D47" s="474" t="n"/>
      <c r="E47" s="246">
        <f>COUNTIF(E$6:E$21,"E")</f>
        <v/>
      </c>
      <c r="F47" s="246">
        <f>COUNTIF(F$6:F$21,"E")</f>
        <v/>
      </c>
      <c r="G47" s="246">
        <f>COUNTIF(G$6:G$21,"E")</f>
        <v/>
      </c>
      <c r="H47" s="246">
        <f>COUNTIF(H$6:H$21,"E")</f>
        <v/>
      </c>
      <c r="I47" s="246">
        <f>COUNTIF(I$6:I$21,"E")</f>
        <v/>
      </c>
      <c r="J47" s="246">
        <f>COUNTIF(J$6:J$21,"E")</f>
        <v/>
      </c>
      <c r="K47" s="246">
        <f>COUNTIF(K$6:K$21,"E")</f>
        <v/>
      </c>
      <c r="L47" s="246">
        <f>COUNTIF(L$6:L$21,"E")</f>
        <v/>
      </c>
      <c r="M47" s="246">
        <f>COUNTIF(M$6:M$21,"E")</f>
        <v/>
      </c>
      <c r="N47" s="246">
        <f>COUNTIF(N$6:N$21,"E")</f>
        <v/>
      </c>
      <c r="O47" s="246">
        <f>COUNTIF(O$6:O$21,"E")</f>
        <v/>
      </c>
      <c r="P47" s="246">
        <f>COUNTIF(P$6:P$21,"E")</f>
        <v/>
      </c>
      <c r="Q47" s="246">
        <f>COUNTIF(Q$6:Q$21,"E")</f>
        <v/>
      </c>
      <c r="R47" s="246">
        <f>COUNTIF(R$6:R$21,"E")</f>
        <v/>
      </c>
      <c r="S47" s="246">
        <f>COUNTIF(S$6:S$21,"E")</f>
        <v/>
      </c>
      <c r="T47" s="246">
        <f>COUNTIF(T$6:T$21,"E")</f>
        <v/>
      </c>
      <c r="U47" s="246">
        <f>COUNTIF(U$6:U$21,"E")</f>
        <v/>
      </c>
      <c r="V47" s="246">
        <f>COUNTIF(V$6:V$21,"E")</f>
        <v/>
      </c>
      <c r="W47" s="246">
        <f>COUNTIF(W$6:W$21,"E")</f>
        <v/>
      </c>
      <c r="X47" s="246">
        <f>COUNTIF(X$6:X$21,"E")</f>
        <v/>
      </c>
      <c r="Y47" s="246">
        <f>COUNTIF(Y$6:Y$21,"E")</f>
        <v/>
      </c>
      <c r="Z47" s="246">
        <f>COUNTIF(Z$6:Z$21,"E")</f>
        <v/>
      </c>
      <c r="AA47" s="246">
        <f>COUNTIF(AA$6:AA$21,"E")</f>
        <v/>
      </c>
      <c r="AB47" s="246">
        <f>COUNTIF(AB$6:AB$21,"E")</f>
        <v/>
      </c>
      <c r="AC47" s="246">
        <f>COUNTIF(AC$6:AC$21,"E")</f>
        <v/>
      </c>
      <c r="AD47" s="246">
        <f>COUNTIF(AD$6:AD$21,"E")</f>
        <v/>
      </c>
      <c r="AE47" s="246">
        <f>COUNTIF(AE$6:AE$21,"E")</f>
        <v/>
      </c>
      <c r="AF47" s="246">
        <f>COUNTIF(AF$6:AF$21,"E")</f>
        <v/>
      </c>
      <c r="AG47" s="246">
        <f>COUNTIF(AG$6:AG$21,"E")</f>
        <v/>
      </c>
      <c r="AH47" s="246">
        <f>COUNTIF(AH$6:AH$21,"E")</f>
        <v/>
      </c>
      <c r="AI47" s="246">
        <f>COUNTIF(AI$6:AI$21,"E")</f>
        <v/>
      </c>
    </row>
    <row r="48" ht="29.25" customHeight="1" s="447">
      <c r="B48" s="460" t="n"/>
      <c r="C48" s="402" t="inlineStr">
        <is>
          <t>夜勤(17:00-1:00)</t>
        </is>
      </c>
      <c r="D48" s="474" t="n"/>
      <c r="E48" s="246">
        <f>COUNTIF(E$6:E$21,"夜")</f>
        <v/>
      </c>
      <c r="F48" s="246">
        <f>COUNTIF(F$6:F$21,"夜")</f>
        <v/>
      </c>
      <c r="G48" s="246">
        <f>COUNTIF(G$6:G$21,"夜")</f>
        <v/>
      </c>
      <c r="H48" s="246">
        <f>COUNTIF(H$6:H$21,"夜")</f>
        <v/>
      </c>
      <c r="I48" s="246">
        <f>COUNTIF(I$6:I$21,"夜")</f>
        <v/>
      </c>
      <c r="J48" s="246">
        <f>COUNTIF(J$6:J$21,"夜")</f>
        <v/>
      </c>
      <c r="K48" s="246">
        <f>COUNTIF(K$6:K$21,"夜")</f>
        <v/>
      </c>
      <c r="L48" s="246">
        <f>COUNTIF(L$6:L$21,"夜")</f>
        <v/>
      </c>
      <c r="M48" s="246">
        <f>COUNTIF(M$6:M$21,"夜")</f>
        <v/>
      </c>
      <c r="N48" s="246">
        <f>COUNTIF(N$6:N$21,"夜")</f>
        <v/>
      </c>
      <c r="O48" s="246">
        <f>COUNTIF(O$6:O$21,"夜")</f>
        <v/>
      </c>
      <c r="P48" s="246">
        <f>COUNTIF(P$6:P$21,"夜")</f>
        <v/>
      </c>
      <c r="Q48" s="246">
        <f>COUNTIF(Q$6:Q$21,"夜")</f>
        <v/>
      </c>
      <c r="R48" s="246">
        <f>COUNTIF(R$6:R$21,"夜")</f>
        <v/>
      </c>
      <c r="S48" s="246">
        <f>COUNTIF(S$6:S$21,"夜")</f>
        <v/>
      </c>
      <c r="T48" s="246">
        <f>COUNTIF(T$6:T$21,"夜")</f>
        <v/>
      </c>
      <c r="U48" s="246">
        <f>COUNTIF(U$6:U$21,"夜")</f>
        <v/>
      </c>
      <c r="V48" s="246">
        <f>COUNTIF(V$6:V$21,"夜")</f>
        <v/>
      </c>
      <c r="W48" s="246">
        <f>COUNTIF(W$6:W$21,"夜")</f>
        <v/>
      </c>
      <c r="X48" s="246">
        <f>COUNTIF(X$6:X$21,"夜")</f>
        <v/>
      </c>
      <c r="Y48" s="246">
        <f>COUNTIF(Y$6:Y$21,"夜")</f>
        <v/>
      </c>
      <c r="Z48" s="246">
        <f>COUNTIF(Z$6:Z$21,"夜")</f>
        <v/>
      </c>
      <c r="AA48" s="246">
        <f>COUNTIF(AA$6:AA$21,"夜")</f>
        <v/>
      </c>
      <c r="AB48" s="246">
        <f>COUNTIF(AB$6:AB$21,"夜")</f>
        <v/>
      </c>
      <c r="AC48" s="246">
        <f>COUNTIF(AC$6:AC$21,"夜")</f>
        <v/>
      </c>
      <c r="AD48" s="246">
        <f>COUNTIF(AD$6:AD$21,"夜")</f>
        <v/>
      </c>
      <c r="AE48" s="246">
        <f>COUNTIF(AE$6:AE$21,"夜")</f>
        <v/>
      </c>
      <c r="AF48" s="246">
        <f>COUNTIF(AF$6:AF$21,"夜")</f>
        <v/>
      </c>
      <c r="AG48" s="246">
        <f>COUNTIF(AG$6:AG$21,"夜")</f>
        <v/>
      </c>
      <c r="AH48" s="246">
        <f>COUNTIF(AH$6:AH$21,"夜")</f>
        <v/>
      </c>
      <c r="AI48" s="246">
        <f>COUNTIF(AI$6:AI$21,"夜")</f>
        <v/>
      </c>
    </row>
    <row r="49" ht="29.25" customHeight="1" s="447">
      <c r="B49" s="460" t="n"/>
      <c r="C49" s="402" t="inlineStr">
        <is>
          <t>明け(1:00-9:00)</t>
        </is>
      </c>
      <c r="D49" s="474" t="n"/>
      <c r="E49" s="246">
        <f>COUNTIF(E$6:E$21,"明")</f>
        <v/>
      </c>
      <c r="F49" s="246">
        <f>COUNTIF(F$6:F$21,"明")</f>
        <v/>
      </c>
      <c r="G49" s="246">
        <f>COUNTIF(G$6:G$21,"明")</f>
        <v/>
      </c>
      <c r="H49" s="246">
        <f>COUNTIF(H$6:H$21,"明")</f>
        <v/>
      </c>
      <c r="I49" s="246">
        <f>COUNTIF(I$6:I$21,"明")</f>
        <v/>
      </c>
      <c r="J49" s="246">
        <f>COUNTIF(J$6:J$21,"明")</f>
        <v/>
      </c>
      <c r="K49" s="246">
        <f>COUNTIF(K$6:K$21,"明")</f>
        <v/>
      </c>
      <c r="L49" s="246">
        <f>COUNTIF(L$6:L$21,"明")</f>
        <v/>
      </c>
      <c r="M49" s="246">
        <f>COUNTIF(M$6:M$21,"明")</f>
        <v/>
      </c>
      <c r="N49" s="246">
        <f>COUNTIF(N$6:N$21,"明")</f>
        <v/>
      </c>
      <c r="O49" s="246">
        <f>COUNTIF(O$6:O$21,"明")</f>
        <v/>
      </c>
      <c r="P49" s="246">
        <f>COUNTIF(P$6:P$21,"明")</f>
        <v/>
      </c>
      <c r="Q49" s="246">
        <f>COUNTIF(Q$6:Q$21,"明")</f>
        <v/>
      </c>
      <c r="R49" s="246">
        <f>COUNTIF(R$6:R$21,"明")</f>
        <v/>
      </c>
      <c r="S49" s="246">
        <f>COUNTIF(S$6:S$21,"明")</f>
        <v/>
      </c>
      <c r="T49" s="246">
        <f>COUNTIF(T$6:T$21,"明")</f>
        <v/>
      </c>
      <c r="U49" s="246">
        <f>COUNTIF(U$6:U$21,"明")</f>
        <v/>
      </c>
      <c r="V49" s="246">
        <f>COUNTIF(V$6:V$21,"明")</f>
        <v/>
      </c>
      <c r="W49" s="246">
        <f>COUNTIF(W$6:W$21,"明")</f>
        <v/>
      </c>
      <c r="X49" s="246">
        <f>COUNTIF(X$6:X$21,"明")</f>
        <v/>
      </c>
      <c r="Y49" s="246">
        <f>COUNTIF(Y$6:Y$21,"明")</f>
        <v/>
      </c>
      <c r="Z49" s="246">
        <f>COUNTIF(Z$6:Z$21,"明")</f>
        <v/>
      </c>
      <c r="AA49" s="246">
        <f>COUNTIF(AA$6:AA$21,"明")</f>
        <v/>
      </c>
      <c r="AB49" s="246">
        <f>COUNTIF(AB$6:AB$21,"明")</f>
        <v/>
      </c>
      <c r="AC49" s="246">
        <f>COUNTIF(AC$6:AC$21,"明")</f>
        <v/>
      </c>
      <c r="AD49" s="246">
        <f>COUNTIF(AD$6:AD$21,"明")</f>
        <v/>
      </c>
      <c r="AE49" s="246">
        <f>COUNTIF(AE$6:AE$21,"明")</f>
        <v/>
      </c>
      <c r="AF49" s="246">
        <f>COUNTIF(AF$6:AF$21,"明")</f>
        <v/>
      </c>
      <c r="AG49" s="246">
        <f>COUNTIF(AG$6:AG$21,"明")</f>
        <v/>
      </c>
      <c r="AH49" s="246">
        <f>COUNTIF(AH$6:AH$21,"明")</f>
        <v/>
      </c>
      <c r="AI49" s="246">
        <f>COUNTIF(AI$6:AI$21,"明")</f>
        <v/>
      </c>
    </row>
    <row r="50" ht="29.25" customHeight="1" s="447">
      <c r="B50" s="460" t="n"/>
      <c r="C50" s="405" t="inlineStr">
        <is>
          <t>出勤合計</t>
        </is>
      </c>
      <c r="D50" s="474" t="n"/>
      <c r="E50" s="246">
        <f>SUM(E43:E49)</f>
        <v/>
      </c>
      <c r="F50" s="246">
        <f>SUM(F43:F49)</f>
        <v/>
      </c>
      <c r="G50" s="246">
        <f>SUM(G43:G49)</f>
        <v/>
      </c>
      <c r="H50" s="246">
        <f>SUM(H43:H49)</f>
        <v/>
      </c>
      <c r="I50" s="246">
        <f>SUM(I43:I49)</f>
        <v/>
      </c>
      <c r="J50" s="246">
        <f>SUM(J43:J49)</f>
        <v/>
      </c>
      <c r="K50" s="246">
        <f>SUM(K43:K49)</f>
        <v/>
      </c>
      <c r="L50" s="246">
        <f>SUM(L43:L49)</f>
        <v/>
      </c>
      <c r="M50" s="246">
        <f>SUM(M43:M49)</f>
        <v/>
      </c>
      <c r="N50" s="246">
        <f>SUM(N43:N49)</f>
        <v/>
      </c>
      <c r="O50" s="246">
        <f>SUM(O43:O49)</f>
        <v/>
      </c>
      <c r="P50" s="246">
        <f>SUM(P43:P49)</f>
        <v/>
      </c>
      <c r="Q50" s="246">
        <f>SUM(Q43:Q49)</f>
        <v/>
      </c>
      <c r="R50" s="246">
        <f>SUM(R43:R49)</f>
        <v/>
      </c>
      <c r="S50" s="246">
        <f>SUM(S43:S49)</f>
        <v/>
      </c>
      <c r="T50" s="246">
        <f>SUM(T43:T49)</f>
        <v/>
      </c>
      <c r="U50" s="246">
        <f>SUM(U43:U49)</f>
        <v/>
      </c>
      <c r="V50" s="246">
        <f>SUM(V43:V49)</f>
        <v/>
      </c>
      <c r="W50" s="246">
        <f>SUM(W43:W49)</f>
        <v/>
      </c>
      <c r="X50" s="246">
        <f>SUM(X43:X49)</f>
        <v/>
      </c>
      <c r="Y50" s="246">
        <f>SUM(Y43:Y49)</f>
        <v/>
      </c>
      <c r="Z50" s="246">
        <f>SUM(Z43:Z49)</f>
        <v/>
      </c>
      <c r="AA50" s="246">
        <f>SUM(AA43:AA49)</f>
        <v/>
      </c>
      <c r="AB50" s="246">
        <f>SUM(AB43:AB49)</f>
        <v/>
      </c>
      <c r="AC50" s="246">
        <f>SUM(AC43:AC49)</f>
        <v/>
      </c>
      <c r="AD50" s="246">
        <f>SUM(AD43:AD49)</f>
        <v/>
      </c>
      <c r="AE50" s="246">
        <f>SUM(AE43:AE49)</f>
        <v/>
      </c>
      <c r="AF50" s="246">
        <f>SUM(AF43:AF49)</f>
        <v/>
      </c>
      <c r="AG50" s="246">
        <f>SUM(AG43:AG49)</f>
        <v/>
      </c>
      <c r="AH50" s="246">
        <f>SUM(AH43:AH49)</f>
        <v/>
      </c>
      <c r="AI50" s="246">
        <f>SUM(AI43:AI49)</f>
        <v/>
      </c>
    </row>
    <row r="51" ht="29.25" customHeight="1" s="447">
      <c r="B51" s="460" t="n"/>
      <c r="C51" s="405" t="inlineStr">
        <is>
          <t>休日・有給</t>
        </is>
      </c>
      <c r="D51" s="474" t="n"/>
      <c r="E51" s="246">
        <f>COUNTIF(E$6:E$21,"休")+COUNTIF(E$6:E$21,"希")+COUNTIF(E$6:E$21,"有")</f>
        <v/>
      </c>
      <c r="F51" s="246">
        <f>COUNTIF(F$6:F$21,"休")+COUNTIF(F$6:F$21,"希")+COUNTIF(F$6:F$21,"有")</f>
        <v/>
      </c>
      <c r="G51" s="246">
        <f>COUNTIF(G$6:G$21,"休")+COUNTIF(G$6:G$21,"希")+COUNTIF(G$6:G$21,"有")</f>
        <v/>
      </c>
      <c r="H51" s="246">
        <f>COUNTIF(H$6:H$21,"休")+COUNTIF(H$6:H$21,"希")+COUNTIF(H$6:H$21,"有")</f>
        <v/>
      </c>
      <c r="I51" s="246">
        <f>COUNTIF(I$6:I$21,"休")+COUNTIF(I$6:I$21,"希")+COUNTIF(I$6:I$21,"有")</f>
        <v/>
      </c>
      <c r="J51" s="246">
        <f>COUNTIF(J$6:J$21,"休")+COUNTIF(J$6:J$21,"希")+COUNTIF(J$6:J$21,"有")</f>
        <v/>
      </c>
      <c r="K51" s="246">
        <f>COUNTIF(K$6:K$21,"休")+COUNTIF(K$6:K$21,"希")+COUNTIF(K$6:K$21,"有")</f>
        <v/>
      </c>
      <c r="L51" s="246">
        <f>COUNTIF(L$6:L$21,"休")+COUNTIF(L$6:L$21,"希")+COUNTIF(L$6:L$21,"有")</f>
        <v/>
      </c>
      <c r="M51" s="246">
        <f>COUNTIF(M$6:M$21,"休")+COUNTIF(M$6:M$21,"希")+COUNTIF(M$6:M$21,"有")</f>
        <v/>
      </c>
      <c r="N51" s="246">
        <f>COUNTIF(N$6:N$21,"休")+COUNTIF(N$6:N$21,"希")+COUNTIF(N$6:N$21,"有")</f>
        <v/>
      </c>
      <c r="O51" s="246">
        <f>COUNTIF(O$6:O$21,"休")+COUNTIF(O$6:O$21,"希")+COUNTIF(O$6:O$21,"有")</f>
        <v/>
      </c>
      <c r="P51" s="246">
        <f>COUNTIF(P$6:P$21,"休")+COUNTIF(P$6:P$21,"希")+COUNTIF(P$6:P$21,"有")</f>
        <v/>
      </c>
      <c r="Q51" s="246">
        <f>COUNTIF(Q$6:Q$21,"休")+COUNTIF(Q$6:Q$21,"希")+COUNTIF(Q$6:Q$21,"有")</f>
        <v/>
      </c>
      <c r="R51" s="246">
        <f>COUNTIF(R$6:R$21,"休")+COUNTIF(R$6:R$21,"希")+COUNTIF(R$6:R$21,"有")</f>
        <v/>
      </c>
      <c r="S51" s="246">
        <f>COUNTIF(S$6:S$21,"休")+COUNTIF(S$6:S$21,"希")+COUNTIF(S$6:S$21,"有")</f>
        <v/>
      </c>
      <c r="T51" s="246">
        <f>COUNTIF(T$6:T$21,"休")+COUNTIF(T$6:T$21,"希")+COUNTIF(T$6:T$21,"有")</f>
        <v/>
      </c>
      <c r="U51" s="246">
        <f>COUNTIF(U$6:U$21,"休")+COUNTIF(U$6:U$21,"希")+COUNTIF(U$6:U$21,"有")</f>
        <v/>
      </c>
      <c r="V51" s="246">
        <f>COUNTIF(V$6:V$21,"休")+COUNTIF(V$6:V$21,"希")+COUNTIF(V$6:V$21,"有")</f>
        <v/>
      </c>
      <c r="W51" s="246">
        <f>COUNTIF(W$6:W$21,"休")+COUNTIF(W$6:W$21,"希")+COUNTIF(W$6:W$21,"有")</f>
        <v/>
      </c>
      <c r="X51" s="246">
        <f>COUNTIF(X$6:X$21,"休")+COUNTIF(X$6:X$21,"希")+COUNTIF(X$6:X$21,"有")</f>
        <v/>
      </c>
      <c r="Y51" s="246">
        <f>COUNTIF(Y$6:Y$21,"休")+COUNTIF(Y$6:Y$21,"希")+COUNTIF(Y$6:Y$21,"有")</f>
        <v/>
      </c>
      <c r="Z51" s="246">
        <f>COUNTIF(Z$6:Z$21,"休")+COUNTIF(Z$6:Z$21,"希")+COUNTIF(Z$6:Z$21,"有")</f>
        <v/>
      </c>
      <c r="AA51" s="246">
        <f>COUNTIF(AA$6:AA$21,"休")+COUNTIF(AA$6:AA$21,"希")+COUNTIF(AA$6:AA$21,"有")</f>
        <v/>
      </c>
      <c r="AB51" s="246">
        <f>COUNTIF(AB$6:AB$21,"休")+COUNTIF(AB$6:AB$21,"希")+COUNTIF(AB$6:AB$21,"有")</f>
        <v/>
      </c>
      <c r="AC51" s="246">
        <f>COUNTIF(AC$6:AC$21,"休")+COUNTIF(AC$6:AC$21,"希")+COUNTIF(AC$6:AC$21,"有")</f>
        <v/>
      </c>
      <c r="AD51" s="246">
        <f>COUNTIF(AD$6:AD$21,"休")+COUNTIF(AD$6:AD$21,"希")+COUNTIF(AD$6:AD$21,"有")</f>
        <v/>
      </c>
      <c r="AE51" s="246">
        <f>COUNTIF(AE$6:AE$21,"休")+COUNTIF(AE$6:AE$21,"希")+COUNTIF(AE$6:AE$21,"有")</f>
        <v/>
      </c>
      <c r="AF51" s="246">
        <f>COUNTIF(AF$6:AF$21,"休")+COUNTIF(AF$6:AF$21,"希")+COUNTIF(AF$6:AF$21,"有")</f>
        <v/>
      </c>
      <c r="AG51" s="246">
        <f>COUNTIF(AG$6:AG$21,"休")+COUNTIF(AG$6:AG$21,"希")+COUNTIF(AG$6:AG$21,"有")</f>
        <v/>
      </c>
      <c r="AH51" s="246">
        <f>COUNTIF(AH$6:AH$21,"休")+COUNTIF(AH$6:AH$21,"希")+COUNTIF(AH$6:AH$21,"有")</f>
        <v/>
      </c>
      <c r="AI51" s="246">
        <f>COUNTIF(AI$6:AI$21,"休")+COUNTIF(AI$6:AI$21,"希")+COUNTIF(AI$6:AI$21,"有")</f>
        <v/>
      </c>
    </row>
    <row r="52" ht="29.25" customHeight="1" s="447" thickBot="1">
      <c r="B52" s="461" t="n"/>
      <c r="C52" s="407" t="inlineStr">
        <is>
          <t>シフト成立</t>
        </is>
      </c>
      <c r="D52" s="479" t="n"/>
      <c r="E52" s="249">
        <f>IF(AND(E43&gt;=1,E44&gt;=1,E45&gt;=1,E46&gt;=1,E48&gt;=1,E49&gt;=1),"成立",IF(AND(E48&gt;=1,E49&gt;=1,E44&gt;=1,E45&gt;=1,E46&gt;=1),"条件付","不成立"))</f>
        <v/>
      </c>
      <c r="F52" s="249">
        <f>IF(AND(F43&gt;=1,F44&gt;=1,F45&gt;=1,F46&gt;=1,F48&gt;=1,F49&gt;=1),"成立",IF(AND(F48&gt;=1,F49&gt;=1,F44&gt;=1,F45&gt;=1,F46&gt;=1),"条件付","不成立"))</f>
        <v/>
      </c>
      <c r="G52" s="249">
        <f>IF(AND(G43&gt;=1,G44&gt;=1,G45&gt;=1,G46&gt;=1,G48&gt;=1,G49&gt;=1),"成立",IF(AND(G48&gt;=1,G49&gt;=1,G44&gt;=1,G45&gt;=1,G46&gt;=1),"条件付","不成立"))</f>
        <v/>
      </c>
      <c r="H52" s="249">
        <f>IF(AND(H43&gt;=1,H44&gt;=1,H45&gt;=1,H46&gt;=1,H48&gt;=1,H49&gt;=1),"成立",IF(AND(H48&gt;=1,H49&gt;=1,H44&gt;=1,H45&gt;=1,H46&gt;=1),"条件付","不成立"))</f>
        <v/>
      </c>
      <c r="I52" s="249">
        <f>IF(AND(I43&gt;=1,I44&gt;=1,I45&gt;=1,I46&gt;=1,I48&gt;=1,I49&gt;=1),"成立",IF(AND(I48&gt;=1,I49&gt;=1,I44&gt;=1,I45&gt;=1,I46&gt;=1),"条件付","不成立"))</f>
        <v/>
      </c>
      <c r="J52" s="249">
        <f>IF(AND(J43&gt;=1,J44&gt;=1,J45&gt;=1,J46&gt;=1,J48&gt;=1,J49&gt;=1),"成立",IF(AND(J48&gt;=1,J49&gt;=1,J44&gt;=1,J45&gt;=1,J46&gt;=1),"条件付","不成立"))</f>
        <v/>
      </c>
      <c r="K52" s="249">
        <f>IF(AND(K43&gt;=1,K44&gt;=1,K45&gt;=1,K46&gt;=1,K48&gt;=1,K49&gt;=1),"成立",IF(AND(K48&gt;=1,K49&gt;=1,K44&gt;=1,K45&gt;=1,K46&gt;=1),"条件付","不成立"))</f>
        <v/>
      </c>
      <c r="L52" s="249">
        <f>IF(AND(L43&gt;=1,L44&gt;=1,L45&gt;=1,L46&gt;=1,L48&gt;=1,L49&gt;=1),"成立",IF(AND(L48&gt;=1,L49&gt;=1,L44&gt;=1,L45&gt;=1,L46&gt;=1),"条件付","不成立"))</f>
        <v/>
      </c>
      <c r="M52" s="249">
        <f>IF(AND(M43&gt;=1,M44&gt;=1,M45&gt;=1,M46&gt;=1,M48&gt;=1,M49&gt;=1),"成立",IF(AND(M48&gt;=1,M49&gt;=1,M44&gt;=1,M45&gt;=1,M46&gt;=1),"条件付","不成立"))</f>
        <v/>
      </c>
      <c r="N52" s="249">
        <f>IF(AND(N43&gt;=1,N44&gt;=1,N45&gt;=1,N46&gt;=1,N48&gt;=1,N49&gt;=1),"成立",IF(AND(N48&gt;=1,N49&gt;=1,N44&gt;=1,N45&gt;=1,N46&gt;=1),"条件付","不成立"))</f>
        <v/>
      </c>
      <c r="O52" s="249">
        <f>IF(AND(O43&gt;=1,O44&gt;=1,O45&gt;=1,O46&gt;=1,O48&gt;=1,O49&gt;=1),"成立",IF(AND(O48&gt;=1,O49&gt;=1,O44&gt;=1,O45&gt;=1,O46&gt;=1),"条件付","不成立"))</f>
        <v/>
      </c>
      <c r="P52" s="249">
        <f>IF(AND(P43&gt;=1,P44&gt;=1,P45&gt;=1,P46&gt;=1,P48&gt;=1,P49&gt;=1),"成立",IF(AND(P48&gt;=1,P49&gt;=1,P44&gt;=1,P45&gt;=1,P46&gt;=1),"条件付","不成立"))</f>
        <v/>
      </c>
      <c r="Q52" s="249">
        <f>IF(AND(Q43&gt;=1,Q44&gt;=1,Q45&gt;=1,Q46&gt;=1,Q48&gt;=1,Q49&gt;=1),"成立",IF(AND(Q48&gt;=1,Q49&gt;=1,Q44&gt;=1,Q45&gt;=1,Q46&gt;=1),"条件付","不成立"))</f>
        <v/>
      </c>
      <c r="R52" s="249">
        <f>IF(AND(R43&gt;=1,R44&gt;=1,R45&gt;=1,R46&gt;=1,R48&gt;=1,R49&gt;=1),"成立",IF(AND(R48&gt;=1,R49&gt;=1,R44&gt;=1,R45&gt;=1,R46&gt;=1),"条件付","不成立"))</f>
        <v/>
      </c>
      <c r="S52" s="249">
        <f>IF(AND(S43&gt;=1,S44&gt;=1,S45&gt;=1,S46&gt;=1,S48&gt;=1,S49&gt;=1),"成立",IF(AND(S48&gt;=1,S49&gt;=1,S44&gt;=1,S45&gt;=1,S46&gt;=1),"条件付","不成立"))</f>
        <v/>
      </c>
      <c r="T52" s="249">
        <f>IF(AND(T43&gt;=1,T44&gt;=1,T45&gt;=1,T46&gt;=1,T48&gt;=1,T49&gt;=1),"成立",IF(AND(T48&gt;=1,T49&gt;=1,T44&gt;=1,T45&gt;=1,T46&gt;=1),"条件付","不成立"))</f>
        <v/>
      </c>
      <c r="U52" s="249">
        <f>IF(AND(U43&gt;=1,U44&gt;=1,U45&gt;=1,U46&gt;=1,U48&gt;=1,U49&gt;=1),"成立",IF(AND(U48&gt;=1,U49&gt;=1,U44&gt;=1,U45&gt;=1,U46&gt;=1),"条件付","不成立"))</f>
        <v/>
      </c>
      <c r="V52" s="249">
        <f>IF(AND(V43&gt;=1,V44&gt;=1,V45&gt;=1,V46&gt;=1,V48&gt;=1,V49&gt;=1),"成立",IF(AND(V48&gt;=1,V49&gt;=1,V44&gt;=1,V45&gt;=1,V46&gt;=1),"条件付","不成立"))</f>
        <v/>
      </c>
      <c r="W52" s="249">
        <f>IF(AND(W43&gt;=1,W44&gt;=1,W45&gt;=1,W46&gt;=1,W48&gt;=1,W49&gt;=1),"成立",IF(AND(W48&gt;=1,W49&gt;=1,W44&gt;=1,W45&gt;=1,W46&gt;=1),"条件付","不成立"))</f>
        <v/>
      </c>
      <c r="X52" s="249">
        <f>IF(AND(X43&gt;=1,X44&gt;=1,X45&gt;=1,X46&gt;=1,X48&gt;=1,X49&gt;=1),"成立",IF(AND(X48&gt;=1,X49&gt;=1,X44&gt;=1,X45&gt;=1,X46&gt;=1),"条件付","不成立"))</f>
        <v/>
      </c>
      <c r="Y52" s="249">
        <f>IF(AND(Y43&gt;=1,Y44&gt;=1,Y45&gt;=1,Y46&gt;=1,Y48&gt;=1,Y49&gt;=1),"成立",IF(AND(Y48&gt;=1,Y49&gt;=1,Y44&gt;=1,Y45&gt;=1,Y46&gt;=1),"条件付","不成立"))</f>
        <v/>
      </c>
      <c r="Z52" s="249">
        <f>IF(AND(Z43&gt;=1,Z44&gt;=1,Z45&gt;=1,Z46&gt;=1,Z48&gt;=1,Z49&gt;=1),"成立",IF(AND(Z48&gt;=1,Z49&gt;=1,Z44&gt;=1,Z45&gt;=1,Z46&gt;=1),"条件付","不成立"))</f>
        <v/>
      </c>
      <c r="AA52" s="249">
        <f>IF(AND(AA43&gt;=1,AA44&gt;=1,AA45&gt;=1,AA46&gt;=1,AA48&gt;=1,AA49&gt;=1),"成立",IF(AND(AA48&gt;=1,AA49&gt;=1,AA44&gt;=1,AA45&gt;=1,AA46&gt;=1),"条件付","不成立"))</f>
        <v/>
      </c>
      <c r="AB52" s="249">
        <f>IF(AND(AB43&gt;=1,AB44&gt;=1,AB45&gt;=1,AB46&gt;=1,AB48&gt;=1,AB49&gt;=1),"成立",IF(AND(AB48&gt;=1,AB49&gt;=1,AB44&gt;=1,AB45&gt;=1,AB46&gt;=1),"条件付","不成立"))</f>
        <v/>
      </c>
      <c r="AC52" s="249">
        <f>IF(AND(AC43&gt;=1,AC44&gt;=1,AC45&gt;=1,AC46&gt;=1,AC48&gt;=1,AC49&gt;=1),"成立",IF(AND(AC48&gt;=1,AC49&gt;=1,AC44&gt;=1,AC45&gt;=1,AC46&gt;=1),"条件付","不成立"))</f>
        <v/>
      </c>
      <c r="AD52" s="249">
        <f>IF(AND(AD43&gt;=1,AD44&gt;=1,AD45&gt;=1,AD46&gt;=1,AD48&gt;=1,AD49&gt;=1),"成立",IF(AND(AD48&gt;=1,AD49&gt;=1,AD44&gt;=1,AD45&gt;=1,AD46&gt;=1),"条件付","不成立"))</f>
        <v/>
      </c>
      <c r="AE52" s="249">
        <f>IF(AND(AE43&gt;=1,AE44&gt;=1,AE45&gt;=1,AE46&gt;=1,AE48&gt;=1,AE49&gt;=1),"成立",IF(AND(AE48&gt;=1,AE49&gt;=1,AE44&gt;=1,AE45&gt;=1,AE46&gt;=1),"条件付","不成立"))</f>
        <v/>
      </c>
      <c r="AF52" s="249">
        <f>IF(AND(AF43&gt;=1,AF44&gt;=1,AF45&gt;=1,AF46&gt;=1,AF48&gt;=1,AF49&gt;=1),"成立",IF(AND(AF48&gt;=1,AF49&gt;=1,AF44&gt;=1,AF45&gt;=1,AF46&gt;=1),"条件付","不成立"))</f>
        <v/>
      </c>
      <c r="AG52" s="249">
        <f>IF(AND(AG43&gt;=1,AG44&gt;=1,AG45&gt;=1,AG46&gt;=1,AG48&gt;=1,AG49&gt;=1),"成立",IF(AND(AG48&gt;=1,AG49&gt;=1,AG44&gt;=1,AG45&gt;=1,AG46&gt;=1),"条件付","不成立"))</f>
        <v/>
      </c>
      <c r="AH52" s="249">
        <f>IF(AND(AH43&gt;=1,AH44&gt;=1,AH45&gt;=1,AH46&gt;=1,AH48&gt;=1,AH49&gt;=1),"成立",IF(AND(AH48&gt;=1,AH49&gt;=1,AH44&gt;=1,AH45&gt;=1,AH46&gt;=1),"条件付","不成立"))</f>
        <v/>
      </c>
      <c r="AI52" s="249">
        <f>IF(AND(AI43&gt;=1,AI44&gt;=1,AI45&gt;=1,AI46&gt;=1,AI48&gt;=1,AI49&gt;=1),"成立",IF(AND(AI48&gt;=1,AI49&gt;=1,AI44&gt;=1,AI45&gt;=1,AI46&gt;=1),"条件付","不成立"))</f>
        <v/>
      </c>
    </row>
    <row r="53" ht="29.25" customHeight="1" s="447"/>
    <row r="54" ht="29.25" customHeight="1" s="447"/>
    <row r="55" ht="29.25" customHeight="1" s="447"/>
    <row r="56" ht="29.25" customHeight="1" s="447"/>
    <row r="57" ht="29.25" customHeight="1" s="447"/>
    <row r="58" ht="29.25" customHeight="1" s="447"/>
    <row r="59" ht="29.25" customHeight="1" s="447"/>
    <row r="60" ht="29.25" customHeight="1" s="447"/>
    <row r="61" ht="29.25" customHeight="1" s="447"/>
    <row r="62" ht="29.25" customHeight="1" s="447"/>
    <row r="63" ht="29.25" customHeight="1" s="447"/>
    <row r="64" ht="29.25" customHeight="1" s="447"/>
    <row r="65" ht="29.25" customHeight="1" s="447"/>
    <row r="66" ht="29.25" customHeight="1" s="447"/>
    <row r="67" ht="29.25" customHeight="1" s="447"/>
    <row r="68" ht="29.25" customHeight="1" s="447"/>
    <row r="69" ht="29.25" customHeight="1" s="447"/>
    <row r="70" ht="29.25" customHeight="1" s="447"/>
    <row r="71" ht="29.25" customHeight="1" s="447"/>
    <row r="72" ht="29.25" customHeight="1" s="447"/>
    <row r="73" ht="29.25" customHeight="1" s="447"/>
    <row r="74" ht="29.25" customHeight="1" s="447"/>
    <row r="75" ht="29.25" customHeight="1" s="447"/>
    <row r="76" ht="29.25" customHeight="1" s="447"/>
    <row r="77" ht="29.25" customHeight="1" s="447"/>
    <row r="78" ht="29.25" customHeight="1" s="447"/>
    <row r="79" ht="29.25" customHeight="1" s="447"/>
    <row r="80" ht="29.25" customHeight="1" s="447"/>
    <row r="81" ht="29.25" customHeight="1" s="447"/>
    <row r="82" ht="29.25" customHeight="1" s="447"/>
    <row r="83" ht="29.25" customHeight="1" s="447"/>
    <row r="84" ht="29.25" customHeight="1" s="447"/>
    <row r="85" ht="29.25" customHeight="1" s="447"/>
    <row r="86" ht="29.25" customHeight="1" s="447"/>
    <row r="87" ht="29.25" customHeight="1" s="447"/>
    <row r="88" ht="29.25" customHeight="1" s="447"/>
    <row r="89" ht="29.25" customHeight="1" s="447"/>
    <row r="90" ht="29.25" customHeight="1" s="447"/>
    <row r="91" ht="29.25" customHeight="1" s="447"/>
    <row r="92" ht="29.25" customHeight="1" s="447"/>
    <row r="93" ht="29.25" customHeight="1" s="447"/>
    <row r="94" ht="29.25" customHeight="1" s="447"/>
    <row r="95" ht="29.25" customHeight="1" s="447"/>
    <row r="96" ht="29.25" customHeight="1" s="447"/>
    <row r="97" ht="29.25" customHeight="1" s="447"/>
    <row r="98" ht="29.25" customHeight="1" s="447"/>
    <row r="99" ht="29.25" customHeight="1" s="447"/>
    <row r="100" ht="29.25" customHeight="1" s="447"/>
    <row r="101" ht="29.25" customHeight="1" s="447"/>
    <row r="102" ht="29.25" customHeight="1" s="447"/>
    <row r="103" ht="29.25" customHeight="1" s="447"/>
    <row r="104" ht="29.25" customHeight="1" s="447"/>
    <row r="105" ht="29.25" customHeight="1" s="447"/>
    <row r="106" ht="29.25" customHeight="1" s="447"/>
    <row r="107" ht="29.25" customHeight="1" s="447"/>
    <row r="108" ht="29.25" customHeight="1" s="447"/>
    <row r="109" ht="29.25" customHeight="1" s="447"/>
  </sheetData>
  <mergeCells count="25">
    <mergeCell ref="C34:D34"/>
    <mergeCell ref="C33:D33"/>
    <mergeCell ref="B4:D5"/>
    <mergeCell ref="C45:D45"/>
    <mergeCell ref="J2:M2"/>
    <mergeCell ref="C35:D35"/>
    <mergeCell ref="C47:D47"/>
    <mergeCell ref="B43:B52"/>
    <mergeCell ref="C50:D50"/>
    <mergeCell ref="C44:D44"/>
    <mergeCell ref="C40:D40"/>
    <mergeCell ref="C43:D43"/>
    <mergeCell ref="C46:D46"/>
    <mergeCell ref="C51:D51"/>
    <mergeCell ref="C36:D36"/>
    <mergeCell ref="C52:D52"/>
    <mergeCell ref="C48:D48"/>
    <mergeCell ref="B32:B40"/>
    <mergeCell ref="C39:D39"/>
    <mergeCell ref="C32:D32"/>
    <mergeCell ref="C38:D38"/>
    <mergeCell ref="C37:D37"/>
    <mergeCell ref="E2:H2"/>
    <mergeCell ref="C49:D49"/>
    <mergeCell ref="AB3:AI3"/>
  </mergeCells>
  <conditionalFormatting sqref="E8">
    <cfRule type="containsText" priority="206" operator="containsText" dxfId="1" text="B">
      <formula>NOT(ISERROR(SEARCH("B",E8)))</formula>
    </cfRule>
    <cfRule type="containsText" priority="194" operator="containsText" dxfId="13" text="A">
      <formula>NOT(ISERROR(SEARCH("A",E8)))</formula>
    </cfRule>
    <cfRule type="containsText" priority="195" operator="containsText" dxfId="1" text="E">
      <formula>NOT(ISERROR(SEARCH("E",E8)))</formula>
    </cfRule>
    <cfRule type="containsText" priority="196" operator="containsText" dxfId="2" text="研">
      <formula>NOT(ISERROR(SEARCH("研",E8)))</formula>
    </cfRule>
    <cfRule type="containsText" priority="197" operator="containsText" dxfId="32" text="希">
      <formula>NOT(ISERROR(SEARCH("希",E8)))</formula>
    </cfRule>
    <cfRule type="containsText" priority="198" operator="containsText" dxfId="4" text="休">
      <formula>NOT(ISERROR(SEARCH("休",E8)))</formula>
    </cfRule>
    <cfRule type="containsText" priority="199" operator="containsText" dxfId="5" text="正">
      <formula>NOT(ISERROR(SEARCH("正",E8)))</formula>
    </cfRule>
    <cfRule type="containsText" priority="200" operator="containsText" dxfId="35" text="有">
      <formula>NOT(ISERROR(SEARCH("有",E8)))</formula>
    </cfRule>
    <cfRule type="containsText" priority="201" operator="containsText" dxfId="7" text="調">
      <formula>NOT(ISERROR(SEARCH("調",E8)))</formula>
    </cfRule>
    <cfRule type="containsText" priority="202" operator="containsText" dxfId="8" text="明">
      <formula>NOT(ISERROR(SEARCH("明",E8)))</formula>
    </cfRule>
    <cfRule type="containsText" priority="203" operator="containsText" dxfId="8" text="夜">
      <formula>NOT(ISERROR(SEARCH("夜",E8)))</formula>
    </cfRule>
    <cfRule type="containsText" priority="204" operator="containsText" dxfId="10" text="C">
      <formula>NOT(ISERROR(SEARCH("C",E8)))</formula>
    </cfRule>
    <cfRule type="containsText" priority="205" operator="containsText" dxfId="1" text="D">
      <formula>NOT(ISERROR(SEARCH("D",E8)))</formula>
    </cfRule>
  </conditionalFormatting>
  <conditionalFormatting sqref="E12:E13">
    <cfRule type="containsText" priority="149" operator="containsText" dxfId="1" text="E">
      <formula>NOT(ISERROR(SEARCH("E",E12)))</formula>
    </cfRule>
    <cfRule type="containsText" priority="148" operator="containsText" dxfId="13" text="A">
      <formula>NOT(ISERROR(SEARCH("A",E12)))</formula>
    </cfRule>
    <cfRule type="containsText" priority="150" operator="containsText" dxfId="2" text="研">
      <formula>NOT(ISERROR(SEARCH("研",E12)))</formula>
    </cfRule>
    <cfRule type="containsText" priority="151" operator="containsText" dxfId="32" text="希">
      <formula>NOT(ISERROR(SEARCH("希",E12)))</formula>
    </cfRule>
    <cfRule type="containsText" priority="152" operator="containsText" dxfId="4" text="休">
      <formula>NOT(ISERROR(SEARCH("休",E12)))</formula>
    </cfRule>
    <cfRule type="containsText" priority="153" operator="containsText" dxfId="5" text="正">
      <formula>NOT(ISERROR(SEARCH("正",E12)))</formula>
    </cfRule>
    <cfRule type="containsText" priority="154" operator="containsText" dxfId="35" text="有">
      <formula>NOT(ISERROR(SEARCH("有",E12)))</formula>
    </cfRule>
    <cfRule type="containsText" priority="155" operator="containsText" dxfId="7" text="調">
      <formula>NOT(ISERROR(SEARCH("調",E12)))</formula>
    </cfRule>
    <cfRule type="containsText" priority="156" operator="containsText" dxfId="8" text="明">
      <formula>NOT(ISERROR(SEARCH("明",E12)))</formula>
    </cfRule>
    <cfRule type="containsText" priority="157" operator="containsText" dxfId="8" text="夜">
      <formula>NOT(ISERROR(SEARCH("夜",E12)))</formula>
    </cfRule>
    <cfRule type="containsText" priority="158" operator="containsText" dxfId="10" text="C">
      <formula>NOT(ISERROR(SEARCH("C",E12)))</formula>
    </cfRule>
    <cfRule type="containsText" priority="159" operator="containsText" dxfId="1" text="D">
      <formula>NOT(ISERROR(SEARCH("D",E12)))</formula>
    </cfRule>
    <cfRule type="containsText" priority="160" operator="containsText" dxfId="1" text="B">
      <formula>NOT(ISERROR(SEARCH("B",E12)))</formula>
    </cfRule>
  </conditionalFormatting>
  <conditionalFormatting sqref="E9:G9">
    <cfRule type="containsText" priority="215" operator="containsText" dxfId="8" text="明">
      <formula>NOT(ISERROR(SEARCH("明",E9)))</formula>
    </cfRule>
    <cfRule type="containsText" priority="210" operator="containsText" dxfId="32" text="希">
      <formula>NOT(ISERROR(SEARCH("希",E9)))</formula>
    </cfRule>
    <cfRule type="containsText" priority="212" operator="containsText" dxfId="5" text="正">
      <formula>NOT(ISERROR(SEARCH("正",E9)))</formula>
    </cfRule>
    <cfRule type="containsText" priority="213" operator="containsText" dxfId="35" text="有">
      <formula>NOT(ISERROR(SEARCH("有",E9)))</formula>
    </cfRule>
    <cfRule type="containsText" priority="214" operator="containsText" dxfId="7" text="調">
      <formula>NOT(ISERROR(SEARCH("調",E9)))</formula>
    </cfRule>
    <cfRule type="containsText" priority="216" operator="containsText" dxfId="8" text="夜">
      <formula>NOT(ISERROR(SEARCH("夜",E9)))</formula>
    </cfRule>
    <cfRule type="containsText" priority="217" operator="containsText" dxfId="10" text="C">
      <formula>NOT(ISERROR(SEARCH("C",E9)))</formula>
    </cfRule>
    <cfRule type="containsText" priority="218" operator="containsText" dxfId="1" text="D">
      <formula>NOT(ISERROR(SEARCH("D",E9)))</formula>
    </cfRule>
    <cfRule type="containsText" priority="219" operator="containsText" dxfId="1" text="B">
      <formula>NOT(ISERROR(SEARCH("B",E9)))</formula>
    </cfRule>
    <cfRule type="containsText" priority="209" operator="containsText" dxfId="2" text="研">
      <formula>NOT(ISERROR(SEARCH("研",E9)))</formula>
    </cfRule>
    <cfRule type="containsText" priority="208" operator="containsText" dxfId="1" text="E">
      <formula>NOT(ISERROR(SEARCH("E",E9)))</formula>
    </cfRule>
    <cfRule type="containsText" priority="207" operator="containsText" dxfId="13" text="A">
      <formula>NOT(ISERROR(SEARCH("A",E9)))</formula>
    </cfRule>
    <cfRule type="containsText" priority="211" operator="containsText" dxfId="4" text="休">
      <formula>NOT(ISERROR(SEARCH("休",E9)))</formula>
    </cfRule>
  </conditionalFormatting>
  <conditionalFormatting sqref="E11:AH11">
    <cfRule type="containsText" priority="423" operator="containsText" dxfId="5" text="正">
      <formula>NOT(ISERROR(SEARCH("正",E11)))</formula>
    </cfRule>
    <cfRule type="containsText" priority="424" operator="containsText" dxfId="35" text="有">
      <formula>NOT(ISERROR(SEARCH("有",E11)))</formula>
    </cfRule>
    <cfRule type="containsText" priority="425" operator="containsText" dxfId="7" text="調">
      <formula>NOT(ISERROR(SEARCH("調",E11)))</formula>
    </cfRule>
    <cfRule type="containsText" priority="426" operator="containsText" dxfId="8" text="明">
      <formula>NOT(ISERROR(SEARCH("明",E11)))</formula>
    </cfRule>
    <cfRule type="containsText" priority="427" operator="containsText" dxfId="8" text="夜">
      <formula>NOT(ISERROR(SEARCH("夜",E11)))</formula>
    </cfRule>
    <cfRule type="containsText" priority="428" operator="containsText" dxfId="10" text="C">
      <formula>NOT(ISERROR(SEARCH("C",E11)))</formula>
    </cfRule>
    <cfRule type="containsText" priority="429" operator="containsText" dxfId="1" text="D">
      <formula>NOT(ISERROR(SEARCH("D",E11)))</formula>
    </cfRule>
    <cfRule type="containsText" priority="430" operator="containsText" dxfId="1" text="B">
      <formula>NOT(ISERROR(SEARCH("B",E11)))</formula>
    </cfRule>
    <cfRule type="containsText" priority="420" operator="containsText" dxfId="2" text="研">
      <formula>NOT(ISERROR(SEARCH("研",E11)))</formula>
    </cfRule>
    <cfRule type="containsText" priority="421" operator="containsText" dxfId="32" text="希">
      <formula>NOT(ISERROR(SEARCH("希",E11)))</formula>
    </cfRule>
    <cfRule type="containsText" priority="422" operator="containsText" dxfId="4" text="休">
      <formula>NOT(ISERROR(SEARCH("休",E11)))</formula>
    </cfRule>
    <cfRule type="containsText" priority="418" operator="containsText" dxfId="13" text="A">
      <formula>NOT(ISERROR(SEARCH("A",E11)))</formula>
    </cfRule>
    <cfRule type="containsText" priority="419" operator="containsText" dxfId="1" text="E">
      <formula>NOT(ISERROR(SEARCH("E",E11)))</formula>
    </cfRule>
  </conditionalFormatting>
  <conditionalFormatting sqref="E40:AH40">
    <cfRule type="containsText" priority="2" operator="containsText" dxfId="28" text="不成立">
      <formula>NOT(ISERROR(SEARCH("不成立",E40)))</formula>
    </cfRule>
    <cfRule type="containsText" priority="1" operator="containsText" dxfId="23" text="30分残業">
      <formula>NOT(ISERROR(SEARCH("30分残業",E40)))</formula>
    </cfRule>
  </conditionalFormatting>
  <conditionalFormatting sqref="E5:AI5">
    <cfRule type="containsText" priority="548" operator="containsText" dxfId="58" text="土">
      <formula>NOT(ISERROR(SEARCH("土",E5)))</formula>
    </cfRule>
    <cfRule type="containsText" priority="549" operator="containsText" dxfId="57" text="日">
      <formula>NOT(ISERROR(SEARCH("日",E5)))</formula>
    </cfRule>
  </conditionalFormatting>
  <conditionalFormatting sqref="E6:AI6">
    <cfRule type="containsText" priority="506" operator="containsText" dxfId="10" text="C">
      <formula>NOT(ISERROR(SEARCH("C",E6)))</formula>
    </cfRule>
    <cfRule type="containsText" priority="505" operator="containsText" dxfId="8" text="夜">
      <formula>NOT(ISERROR(SEARCH("夜",E6)))</formula>
    </cfRule>
    <cfRule type="containsText" priority="507" operator="containsText" dxfId="1" text="D">
      <formula>NOT(ISERROR(SEARCH("D",E6)))</formula>
    </cfRule>
    <cfRule type="containsText" priority="497" operator="containsText" dxfId="1" text="E">
      <formula>NOT(ISERROR(SEARCH("E",E6)))</formula>
    </cfRule>
    <cfRule type="containsText" priority="498" operator="containsText" dxfId="2" text="研">
      <formula>NOT(ISERROR(SEARCH("研",E6)))</formula>
    </cfRule>
    <cfRule type="containsText" priority="499" operator="containsText" dxfId="32" text="希">
      <formula>NOT(ISERROR(SEARCH("希",E6)))</formula>
    </cfRule>
    <cfRule type="containsText" priority="500" operator="containsText" dxfId="4" text="休">
      <formula>NOT(ISERROR(SEARCH("休",E6)))</formula>
    </cfRule>
    <cfRule type="containsText" priority="508" operator="containsText" dxfId="1" text="B">
      <formula>NOT(ISERROR(SEARCH("B",E6)))</formula>
    </cfRule>
    <cfRule type="containsText" priority="501" operator="containsText" dxfId="5" text="正">
      <formula>NOT(ISERROR(SEARCH("正",E6)))</formula>
    </cfRule>
    <cfRule type="containsText" priority="502" operator="containsText" dxfId="35" text="有">
      <formula>NOT(ISERROR(SEARCH("有",E6)))</formula>
    </cfRule>
    <cfRule type="containsText" priority="503" operator="containsText" dxfId="7" text="調">
      <formula>NOT(ISERROR(SEARCH("調",E6)))</formula>
    </cfRule>
    <cfRule type="containsText" priority="504" operator="containsText" dxfId="8" text="明">
      <formula>NOT(ISERROR(SEARCH("明",E6)))</formula>
    </cfRule>
  </conditionalFormatting>
  <conditionalFormatting sqref="E6:AI7">
    <cfRule type="containsText" priority="364" operator="containsText" dxfId="13" text="A">
      <formula>NOT(ISERROR(SEARCH("A",E6)))</formula>
    </cfRule>
  </conditionalFormatting>
  <conditionalFormatting sqref="E7:AI7">
    <cfRule type="containsText" priority="374" operator="containsText" dxfId="1" text="D">
      <formula>NOT(ISERROR(SEARCH("D",E7)))</formula>
    </cfRule>
    <cfRule type="containsText" priority="373" operator="containsText" dxfId="10" text="C">
      <formula>NOT(ISERROR(SEARCH("C",E7)))</formula>
    </cfRule>
    <cfRule type="containsText" priority="372" operator="containsText" dxfId="8" text="夜">
      <formula>NOT(ISERROR(SEARCH("夜",E7)))</formula>
    </cfRule>
    <cfRule type="containsText" priority="371" operator="containsText" dxfId="8" text="明">
      <formula>NOT(ISERROR(SEARCH("明",E7)))</formula>
    </cfRule>
    <cfRule type="containsText" priority="363" operator="containsText" dxfId="13" text="E">
      <formula>NOT(ISERROR(SEARCH("E",E7)))</formula>
    </cfRule>
    <cfRule type="containsText" priority="370" operator="containsText" dxfId="13" text="調">
      <formula>NOT(ISERROR(SEARCH("調",E7)))</formula>
    </cfRule>
    <cfRule type="containsText" priority="369" operator="containsText" dxfId="35" text="有">
      <formula>NOT(ISERROR(SEARCH("有",E7)))</formula>
    </cfRule>
    <cfRule type="containsText" priority="368" operator="containsText" dxfId="5" text="正">
      <formula>NOT(ISERROR(SEARCH("正",E7)))</formula>
    </cfRule>
    <cfRule type="containsText" priority="367" operator="containsText" dxfId="4" text="休">
      <formula>NOT(ISERROR(SEARCH("休",E7)))</formula>
    </cfRule>
    <cfRule type="containsText" priority="366" operator="containsText" dxfId="32" text="希">
      <formula>NOT(ISERROR(SEARCH("希",E7)))</formula>
    </cfRule>
    <cfRule type="containsText" priority="365" operator="containsText" dxfId="2" text="研">
      <formula>NOT(ISERROR(SEARCH("研",E7)))</formula>
    </cfRule>
    <cfRule type="containsText" priority="375" operator="containsText" dxfId="1" text="B">
      <formula>NOT(ISERROR(SEARCH("B",E7)))</formula>
    </cfRule>
  </conditionalFormatting>
  <conditionalFormatting sqref="E8:AI10">
    <cfRule type="containsText" priority="182" operator="containsText" dxfId="35" text="有">
      <formula>NOT(ISERROR(SEARCH("有",E8)))</formula>
    </cfRule>
    <cfRule type="containsText" priority="176" operator="containsText" dxfId="13" text="E">
      <formula>NOT(ISERROR(SEARCH("E",E8)))</formula>
    </cfRule>
    <cfRule type="containsText" priority="177" operator="containsText" dxfId="13" text="A">
      <formula>NOT(ISERROR(SEARCH("A",E8)))</formula>
    </cfRule>
    <cfRule type="containsText" priority="178" operator="containsText" dxfId="2" text="研">
      <formula>NOT(ISERROR(SEARCH("研",E8)))</formula>
    </cfRule>
    <cfRule type="containsText" priority="179" operator="containsText" dxfId="32" text="希">
      <formula>NOT(ISERROR(SEARCH("希",E8)))</formula>
    </cfRule>
    <cfRule type="containsText" priority="180" operator="containsText" dxfId="4" text="休">
      <formula>NOT(ISERROR(SEARCH("休",E8)))</formula>
    </cfRule>
    <cfRule type="containsText" priority="181" operator="containsText" dxfId="5" text="正">
      <formula>NOT(ISERROR(SEARCH("正",E8)))</formula>
    </cfRule>
    <cfRule type="containsText" priority="183" operator="containsText" dxfId="13" text="調">
      <formula>NOT(ISERROR(SEARCH("調",E8)))</formula>
    </cfRule>
    <cfRule type="containsText" priority="185" operator="containsText" dxfId="8" text="夜">
      <formula>NOT(ISERROR(SEARCH("夜",E8)))</formula>
    </cfRule>
    <cfRule type="containsText" priority="186" operator="containsText" dxfId="10" text="C">
      <formula>NOT(ISERROR(SEARCH("C",E8)))</formula>
    </cfRule>
    <cfRule type="containsText" priority="187" operator="containsText" dxfId="1" text="D">
      <formula>NOT(ISERROR(SEARCH("D",E8)))</formula>
    </cfRule>
    <cfRule type="containsText" priority="188" operator="containsText" dxfId="1" text="B">
      <formula>NOT(ISERROR(SEARCH("B",E8)))</formula>
    </cfRule>
    <cfRule type="containsText" priority="184" operator="containsText" dxfId="8" text="明">
      <formula>NOT(ISERROR(SEARCH("明",E8)))</formula>
    </cfRule>
  </conditionalFormatting>
  <conditionalFormatting sqref="E12:AI17">
    <cfRule type="containsText" priority="135" operator="containsText" dxfId="13" text="E">
      <formula>NOT(ISERROR(SEARCH("E",E12)))</formula>
    </cfRule>
    <cfRule type="containsText" priority="147" operator="containsText" dxfId="1" text="B">
      <formula>NOT(ISERROR(SEARCH("B",E12)))</formula>
    </cfRule>
    <cfRule type="containsText" priority="146" operator="containsText" dxfId="1" text="D">
      <formula>NOT(ISERROR(SEARCH("D",E12)))</formula>
    </cfRule>
    <cfRule type="containsText" priority="145" operator="containsText" dxfId="10" text="C">
      <formula>NOT(ISERROR(SEARCH("C",E12)))</formula>
    </cfRule>
    <cfRule type="containsText" priority="144" operator="containsText" dxfId="8" text="夜">
      <formula>NOT(ISERROR(SEARCH("夜",E12)))</formula>
    </cfRule>
    <cfRule type="containsText" priority="143" operator="containsText" dxfId="8" text="明">
      <formula>NOT(ISERROR(SEARCH("明",E12)))</formula>
    </cfRule>
    <cfRule type="containsText" priority="142" operator="containsText" dxfId="13" text="調">
      <formula>NOT(ISERROR(SEARCH("調",E12)))</formula>
    </cfRule>
    <cfRule type="containsText" priority="141" operator="containsText" dxfId="35" text="有">
      <formula>NOT(ISERROR(SEARCH("有",E12)))</formula>
    </cfRule>
    <cfRule type="containsText" priority="140" operator="containsText" dxfId="5" text="正">
      <formula>NOT(ISERROR(SEARCH("正",E12)))</formula>
    </cfRule>
    <cfRule type="containsText" priority="139" operator="containsText" dxfId="4" text="休">
      <formula>NOT(ISERROR(SEARCH("休",E12)))</formula>
    </cfRule>
    <cfRule type="containsText" priority="138" operator="containsText" dxfId="32" text="希">
      <formula>NOT(ISERROR(SEARCH("希",E12)))</formula>
    </cfRule>
    <cfRule type="containsText" priority="137" operator="containsText" dxfId="2" text="研">
      <formula>NOT(ISERROR(SEARCH("研",E12)))</formula>
    </cfRule>
  </conditionalFormatting>
  <conditionalFormatting sqref="E12:AI22">
    <cfRule type="containsText" priority="123" operator="containsText" dxfId="13" text="A">
      <formula>NOT(ISERROR(SEARCH("A",E12)))</formula>
    </cfRule>
  </conditionalFormatting>
  <conditionalFormatting sqref="E18:AI18">
    <cfRule type="containsText" priority="559" operator="containsText" dxfId="1" text="B">
      <formula>NOT(ISERROR(SEARCH("B",E18)))</formula>
    </cfRule>
    <cfRule type="containsText" priority="547" operator="containsText" dxfId="2" text="研">
      <formula>NOT(ISERROR(SEARCH("研",E18)))</formula>
    </cfRule>
    <cfRule type="containsText" priority="552" operator="containsText" dxfId="5" text="正">
      <formula>NOT(ISERROR(SEARCH("正",E18)))</formula>
    </cfRule>
    <cfRule type="containsText" priority="550" operator="containsText" dxfId="32" text="希">
      <formula>NOT(ISERROR(SEARCH("希",E18)))</formula>
    </cfRule>
    <cfRule type="containsText" priority="556" operator="containsText" dxfId="8" text="夜">
      <formula>NOT(ISERROR(SEARCH("夜",E18)))</formula>
    </cfRule>
    <cfRule type="containsText" priority="555" operator="containsText" dxfId="8" text="明">
      <formula>NOT(ISERROR(SEARCH("明",E18)))</formula>
    </cfRule>
    <cfRule type="containsText" priority="554" operator="containsText" dxfId="7" text="調">
      <formula>NOT(ISERROR(SEARCH("調",E18)))</formula>
    </cfRule>
    <cfRule type="containsText" priority="553" operator="containsText" dxfId="35" text="有">
      <formula>NOT(ISERROR(SEARCH("有",E18)))</formula>
    </cfRule>
    <cfRule type="containsText" priority="551" operator="containsText" dxfId="4" text="休">
      <formula>NOT(ISERROR(SEARCH("休",E18)))</formula>
    </cfRule>
    <cfRule type="containsText" priority="557" operator="containsText" dxfId="10" text="C">
      <formula>NOT(ISERROR(SEARCH("C",E18)))</formula>
    </cfRule>
    <cfRule type="containsText" priority="546" operator="containsText" dxfId="1" text="E">
      <formula>NOT(ISERROR(SEARCH("E",E18)))</formula>
    </cfRule>
    <cfRule type="containsText" priority="558" operator="containsText" dxfId="1" text="D">
      <formula>NOT(ISERROR(SEARCH("D",E18)))</formula>
    </cfRule>
  </conditionalFormatting>
  <conditionalFormatting sqref="E19:AI22">
    <cfRule type="containsText" priority="122" operator="containsText" dxfId="13" text="E">
      <formula>NOT(ISERROR(SEARCH("E",E19)))</formula>
    </cfRule>
    <cfRule type="containsText" priority="124" operator="containsText" dxfId="2" text="研">
      <formula>NOT(ISERROR(SEARCH("研",E19)))</formula>
    </cfRule>
    <cfRule type="containsText" priority="125" operator="containsText" dxfId="32" text="希">
      <formula>NOT(ISERROR(SEARCH("希",E19)))</formula>
    </cfRule>
    <cfRule type="containsText" priority="126" operator="containsText" dxfId="4" text="休">
      <formula>NOT(ISERROR(SEARCH("休",E19)))</formula>
    </cfRule>
    <cfRule type="containsText" priority="127" operator="containsText" dxfId="5" text="正">
      <formula>NOT(ISERROR(SEARCH("正",E19)))</formula>
    </cfRule>
    <cfRule type="containsText" priority="128" operator="containsText" dxfId="35" text="有">
      <formula>NOT(ISERROR(SEARCH("有",E19)))</formula>
    </cfRule>
    <cfRule type="containsText" priority="129" operator="containsText" dxfId="13" text="調">
      <formula>NOT(ISERROR(SEARCH("調",E19)))</formula>
    </cfRule>
    <cfRule type="containsText" priority="130" operator="containsText" dxfId="8" text="明">
      <formula>NOT(ISERROR(SEARCH("明",E19)))</formula>
    </cfRule>
    <cfRule type="containsText" priority="131" operator="containsText" dxfId="8" text="夜">
      <formula>NOT(ISERROR(SEARCH("夜",E19)))</formula>
    </cfRule>
    <cfRule type="containsText" priority="132" operator="containsText" dxfId="10" text="C">
      <formula>NOT(ISERROR(SEARCH("C",E19)))</formula>
    </cfRule>
    <cfRule type="containsText" priority="133" operator="containsText" dxfId="1" text="D">
      <formula>NOT(ISERROR(SEARCH("D",E19)))</formula>
    </cfRule>
    <cfRule type="containsText" priority="134" operator="containsText" dxfId="1" text="B">
      <formula>NOT(ISERROR(SEARCH("B",E19)))</formula>
    </cfRule>
  </conditionalFormatting>
  <conditionalFormatting sqref="E32:AI37">
    <cfRule type="cellIs" priority="409" operator="equal" dxfId="25">
      <formula>0</formula>
    </cfRule>
  </conditionalFormatting>
  <conditionalFormatting sqref="E39:AI39">
    <cfRule type="cellIs" priority="408" operator="equal" dxfId="25">
      <formula>0</formula>
    </cfRule>
  </conditionalFormatting>
  <conditionalFormatting sqref="E43:AI50">
    <cfRule type="cellIs" priority="405" operator="equal" dxfId="25">
      <formula>0</formula>
    </cfRule>
  </conditionalFormatting>
  <conditionalFormatting sqref="E52:AI52">
    <cfRule type="cellIs" priority="404" operator="equal" dxfId="25">
      <formula>0</formula>
    </cfRule>
    <cfRule type="containsText" priority="403" operator="containsText" dxfId="24" stopIfTrue="1" text="不成立">
      <formula>NOT(ISERROR(SEARCH("不成立",E52)))</formula>
    </cfRule>
    <cfRule type="containsText" priority="402" operator="containsText" dxfId="23" text="条件付">
      <formula>NOT(ISERROR(SEARCH("条件付",E52)))</formula>
    </cfRule>
  </conditionalFormatting>
  <conditionalFormatting sqref="F25">
    <cfRule type="containsText" priority="111" operator="containsText" dxfId="2" text="研">
      <formula>NOT(ISERROR(SEARCH("研",F25)))</formula>
    </cfRule>
    <cfRule type="containsText" priority="109" operator="containsText" dxfId="13" text="A">
      <formula>NOT(ISERROR(SEARCH("A",F25)))</formula>
    </cfRule>
    <cfRule type="containsText" priority="108" operator="containsText" dxfId="13" text="E">
      <formula>NOT(ISERROR(SEARCH("E",F25)))</formula>
    </cfRule>
    <cfRule type="containsText" priority="110" operator="containsText" dxfId="1" text="E">
      <formula>NOT(ISERROR(SEARCH("E",F25)))</formula>
    </cfRule>
    <cfRule type="containsText" priority="121" operator="containsText" dxfId="1" text="B">
      <formula>NOT(ISERROR(SEARCH("B",F25)))</formula>
    </cfRule>
    <cfRule type="containsText" priority="120" operator="containsText" dxfId="1" text="D">
      <formula>NOT(ISERROR(SEARCH("D",F25)))</formula>
    </cfRule>
    <cfRule type="containsText" priority="119" operator="containsText" dxfId="10" text="C">
      <formula>NOT(ISERROR(SEARCH("C",F25)))</formula>
    </cfRule>
    <cfRule type="containsText" priority="118" operator="containsText" dxfId="8" text="夜">
      <formula>NOT(ISERROR(SEARCH("夜",F25)))</formula>
    </cfRule>
    <cfRule type="containsText" priority="117" operator="containsText" dxfId="8" text="明">
      <formula>NOT(ISERROR(SEARCH("明",F25)))</formula>
    </cfRule>
    <cfRule type="containsText" priority="116" operator="containsText" dxfId="7" text="調">
      <formula>NOT(ISERROR(SEARCH("調",F25)))</formula>
    </cfRule>
    <cfRule type="containsText" priority="115" operator="containsText" dxfId="35" text="有">
      <formula>NOT(ISERROR(SEARCH("有",F25)))</formula>
    </cfRule>
    <cfRule type="containsText" priority="114" operator="containsText" dxfId="5" text="正">
      <formula>NOT(ISERROR(SEARCH("正",F25)))</formula>
    </cfRule>
    <cfRule type="containsText" priority="113" operator="containsText" dxfId="4" text="休">
      <formula>NOT(ISERROR(SEARCH("休",F25)))</formula>
    </cfRule>
    <cfRule type="containsText" priority="112" operator="containsText" dxfId="32" text="希">
      <formula>NOT(ISERROR(SEARCH("希",F25)))</formula>
    </cfRule>
  </conditionalFormatting>
  <conditionalFormatting sqref="F27">
    <cfRule type="containsText" priority="68" operator="containsText" dxfId="1" text="B">
      <formula>NOT(ISERROR(SEARCH("B",F27)))</formula>
    </cfRule>
    <cfRule type="containsText" priority="67" operator="containsText" dxfId="1" text="D">
      <formula>NOT(ISERROR(SEARCH("D",F27)))</formula>
    </cfRule>
    <cfRule type="containsText" priority="66" operator="containsText" dxfId="10" text="C">
      <formula>NOT(ISERROR(SEARCH("C",F27)))</formula>
    </cfRule>
    <cfRule type="containsText" priority="65" operator="containsText" dxfId="8" text="夜">
      <formula>NOT(ISERROR(SEARCH("夜",F27)))</formula>
    </cfRule>
    <cfRule type="containsText" priority="64" operator="containsText" dxfId="8" text="明">
      <formula>NOT(ISERROR(SEARCH("明",F27)))</formula>
    </cfRule>
    <cfRule type="containsText" priority="63" operator="containsText" dxfId="13" text="調">
      <formula>NOT(ISERROR(SEARCH("調",F27)))</formula>
    </cfRule>
    <cfRule type="containsText" priority="62" operator="containsText" dxfId="35" text="有">
      <formula>NOT(ISERROR(SEARCH("有",F27)))</formula>
    </cfRule>
    <cfRule type="containsText" priority="61" operator="containsText" dxfId="5" text="正">
      <formula>NOT(ISERROR(SEARCH("正",F27)))</formula>
    </cfRule>
    <cfRule type="containsText" priority="60" operator="containsText" dxfId="4" text="休">
      <formula>NOT(ISERROR(SEARCH("休",F27)))</formula>
    </cfRule>
    <cfRule type="containsText" priority="59" operator="containsText" dxfId="32" text="希">
      <formula>NOT(ISERROR(SEARCH("希",F27)))</formula>
    </cfRule>
    <cfRule type="containsText" priority="58" operator="containsText" dxfId="2" text="研">
      <formula>NOT(ISERROR(SEARCH("研",F27)))</formula>
    </cfRule>
    <cfRule type="containsText" priority="57" operator="containsText" dxfId="13" text="A">
      <formula>NOT(ISERROR(SEARCH("A",F27)))</formula>
    </cfRule>
    <cfRule type="containsText" priority="56" operator="containsText" dxfId="13" text="E">
      <formula>NOT(ISERROR(SEARCH("E",F27)))</formula>
    </cfRule>
  </conditionalFormatting>
  <conditionalFormatting sqref="G28">
    <cfRule type="containsText" priority="35" operator="containsText" dxfId="5" text="正">
      <formula>NOT(ISERROR(SEARCH("正",G28)))</formula>
    </cfRule>
    <cfRule type="containsText" priority="40" operator="containsText" dxfId="10" text="C">
      <formula>NOT(ISERROR(SEARCH("C",G28)))</formula>
    </cfRule>
    <cfRule type="containsText" priority="31" operator="containsText" dxfId="13" text="A">
      <formula>NOT(ISERROR(SEARCH("A",G28)))</formula>
    </cfRule>
    <cfRule type="containsText" priority="32" operator="containsText" dxfId="2" text="研">
      <formula>NOT(ISERROR(SEARCH("研",G28)))</formula>
    </cfRule>
    <cfRule type="containsText" priority="33" operator="containsText" dxfId="32" text="希">
      <formula>NOT(ISERROR(SEARCH("希",G28)))</formula>
    </cfRule>
    <cfRule type="containsText" priority="34" operator="containsText" dxfId="4" text="休">
      <formula>NOT(ISERROR(SEARCH("休",G28)))</formula>
    </cfRule>
    <cfRule type="containsText" priority="38" operator="containsText" dxfId="8" text="明">
      <formula>NOT(ISERROR(SEARCH("明",G28)))</formula>
    </cfRule>
    <cfRule type="containsText" priority="39" operator="containsText" dxfId="8" text="夜">
      <formula>NOT(ISERROR(SEARCH("夜",G28)))</formula>
    </cfRule>
    <cfRule type="containsText" priority="36" operator="containsText" dxfId="35" text="有">
      <formula>NOT(ISERROR(SEARCH("有",G28)))</formula>
    </cfRule>
    <cfRule type="containsText" priority="42" operator="containsText" dxfId="1" text="B">
      <formula>NOT(ISERROR(SEARCH("B",G28)))</formula>
    </cfRule>
    <cfRule type="containsText" priority="37" operator="containsText" dxfId="13" text="調">
      <formula>NOT(ISERROR(SEARCH("調",G28)))</formula>
    </cfRule>
    <cfRule type="containsText" priority="41" operator="containsText" dxfId="1" text="D">
      <formula>NOT(ISERROR(SEARCH("D",G28)))</formula>
    </cfRule>
    <cfRule type="containsText" priority="30" operator="containsText" dxfId="13" text="E">
      <formula>NOT(ISERROR(SEARCH("E",G28)))</formula>
    </cfRule>
  </conditionalFormatting>
  <conditionalFormatting sqref="G7:I7">
    <cfRule type="containsText" priority="389" operator="containsText" dxfId="13" text="A">
      <formula>NOT(ISERROR(SEARCH("A",G7)))</formula>
    </cfRule>
    <cfRule type="containsText" priority="401" operator="containsText" dxfId="1" text="B">
      <formula>NOT(ISERROR(SEARCH("B",G7)))</formula>
    </cfRule>
    <cfRule type="containsText" priority="400" operator="containsText" dxfId="1" text="D">
      <formula>NOT(ISERROR(SEARCH("D",G7)))</formula>
    </cfRule>
    <cfRule type="containsText" priority="399" operator="containsText" dxfId="10" text="C">
      <formula>NOT(ISERROR(SEARCH("C",G7)))</formula>
    </cfRule>
    <cfRule type="containsText" priority="398" operator="containsText" dxfId="8" text="夜">
      <formula>NOT(ISERROR(SEARCH("夜",G7)))</formula>
    </cfRule>
    <cfRule type="containsText" priority="397" operator="containsText" dxfId="8" text="明">
      <formula>NOT(ISERROR(SEARCH("明",G7)))</formula>
    </cfRule>
    <cfRule type="containsText" priority="396" operator="containsText" dxfId="7" text="調">
      <formula>NOT(ISERROR(SEARCH("調",G7)))</formula>
    </cfRule>
    <cfRule type="containsText" priority="395" operator="containsText" dxfId="35" text="有">
      <formula>NOT(ISERROR(SEARCH("有",G7)))</formula>
    </cfRule>
    <cfRule type="containsText" priority="394" operator="containsText" dxfId="5" text="正">
      <formula>NOT(ISERROR(SEARCH("正",G7)))</formula>
    </cfRule>
    <cfRule type="containsText" priority="393" operator="containsText" dxfId="4" text="休">
      <formula>NOT(ISERROR(SEARCH("休",G7)))</formula>
    </cfRule>
    <cfRule type="containsText" priority="392" operator="containsText" dxfId="32" text="希">
      <formula>NOT(ISERROR(SEARCH("希",G7)))</formula>
    </cfRule>
    <cfRule type="containsText" priority="390" operator="containsText" dxfId="1" text="E">
      <formula>NOT(ISERROR(SEARCH("E",G7)))</formula>
    </cfRule>
    <cfRule type="containsText" priority="391" operator="containsText" dxfId="2" text="研">
      <formula>NOT(ISERROR(SEARCH("研",G7)))</formula>
    </cfRule>
  </conditionalFormatting>
  <conditionalFormatting sqref="I25">
    <cfRule type="containsText" priority="103" operator="containsText" dxfId="8" text="明">
      <formula>NOT(ISERROR(SEARCH("明",I25)))</formula>
    </cfRule>
    <cfRule type="containsText" priority="97" operator="containsText" dxfId="2" text="研">
      <formula>NOT(ISERROR(SEARCH("研",I25)))</formula>
    </cfRule>
    <cfRule type="containsText" priority="98" operator="containsText" dxfId="32" text="希">
      <formula>NOT(ISERROR(SEARCH("希",I25)))</formula>
    </cfRule>
    <cfRule type="containsText" priority="101" operator="containsText" dxfId="35" text="有">
      <formula>NOT(ISERROR(SEARCH("有",I25)))</formula>
    </cfRule>
    <cfRule type="containsText" priority="102" operator="containsText" dxfId="7" text="調">
      <formula>NOT(ISERROR(SEARCH("調",I25)))</formula>
    </cfRule>
    <cfRule type="containsText" priority="107" operator="containsText" dxfId="1" text="B">
      <formula>NOT(ISERROR(SEARCH("B",I25)))</formula>
    </cfRule>
    <cfRule type="containsText" priority="106" operator="containsText" dxfId="1" text="D">
      <formula>NOT(ISERROR(SEARCH("D",I25)))</formula>
    </cfRule>
    <cfRule type="containsText" priority="100" operator="containsText" dxfId="5" text="正">
      <formula>NOT(ISERROR(SEARCH("正",I25)))</formula>
    </cfRule>
    <cfRule type="containsText" priority="99" operator="containsText" dxfId="4" text="休">
      <formula>NOT(ISERROR(SEARCH("休",I25)))</formula>
    </cfRule>
    <cfRule type="containsText" priority="105" operator="containsText" dxfId="10" text="C">
      <formula>NOT(ISERROR(SEARCH("C",I25)))</formula>
    </cfRule>
    <cfRule type="containsText" priority="104" operator="containsText" dxfId="8" text="夜">
      <formula>NOT(ISERROR(SEARCH("夜",I25)))</formula>
    </cfRule>
    <cfRule type="containsText" priority="95" operator="containsText" dxfId="13" text="A">
      <formula>NOT(ISERROR(SEARCH("A",I25)))</formula>
    </cfRule>
    <cfRule type="containsText" priority="96" operator="containsText" dxfId="1" text="E">
      <formula>NOT(ISERROR(SEARCH("E",I25)))</formula>
    </cfRule>
  </conditionalFormatting>
  <conditionalFormatting sqref="I28">
    <cfRule type="containsText" priority="21" operator="containsText" dxfId="4" text="休">
      <formula>NOT(ISERROR(SEARCH("休",I28)))</formula>
    </cfRule>
    <cfRule type="containsText" priority="22" operator="containsText" dxfId="5" text="正">
      <formula>NOT(ISERROR(SEARCH("正",I28)))</formula>
    </cfRule>
    <cfRule type="containsText" priority="20" operator="containsText" dxfId="32" text="希">
      <formula>NOT(ISERROR(SEARCH("希",I28)))</formula>
    </cfRule>
    <cfRule type="containsText" priority="19" operator="containsText" dxfId="2" text="研">
      <formula>NOT(ISERROR(SEARCH("研",I28)))</formula>
    </cfRule>
    <cfRule type="containsText" priority="18" operator="containsText" dxfId="13" text="A">
      <formula>NOT(ISERROR(SEARCH("A",I28)))</formula>
    </cfRule>
    <cfRule type="containsText" priority="17" operator="containsText" dxfId="13" text="E">
      <formula>NOT(ISERROR(SEARCH("E",I28)))</formula>
    </cfRule>
    <cfRule type="containsText" priority="23" operator="containsText" dxfId="35" text="有">
      <formula>NOT(ISERROR(SEARCH("有",I28)))</formula>
    </cfRule>
    <cfRule type="containsText" priority="24" operator="containsText" dxfId="13" text="調">
      <formula>NOT(ISERROR(SEARCH("調",I28)))</formula>
    </cfRule>
    <cfRule type="containsText" priority="25" operator="containsText" dxfId="8" text="明">
      <formula>NOT(ISERROR(SEARCH("明",I28)))</formula>
    </cfRule>
    <cfRule type="containsText" priority="26" operator="containsText" dxfId="8" text="夜">
      <formula>NOT(ISERROR(SEARCH("夜",I28)))</formula>
    </cfRule>
    <cfRule type="containsText" priority="27" operator="containsText" dxfId="10" text="C">
      <formula>NOT(ISERROR(SEARCH("C",I28)))</formula>
    </cfRule>
    <cfRule type="containsText" priority="28" operator="containsText" dxfId="1" text="D">
      <formula>NOT(ISERROR(SEARCH("D",I28)))</formula>
    </cfRule>
    <cfRule type="containsText" priority="29" operator="containsText" dxfId="1" text="B">
      <formula>NOT(ISERROR(SEARCH("B",I28)))</formula>
    </cfRule>
  </conditionalFormatting>
  <conditionalFormatting sqref="I7:L7">
    <cfRule type="containsText" priority="357" operator="containsText" dxfId="7" text="調">
      <formula>NOT(ISERROR(SEARCH("調",I7)))</formula>
    </cfRule>
    <cfRule type="containsText" priority="361" operator="containsText" dxfId="1" text="D">
      <formula>NOT(ISERROR(SEARCH("D",I7)))</formula>
    </cfRule>
    <cfRule type="containsText" priority="356" operator="containsText" dxfId="35" text="有">
      <formula>NOT(ISERROR(SEARCH("有",I7)))</formula>
    </cfRule>
    <cfRule type="containsText" priority="355" operator="containsText" dxfId="5" text="正">
      <formula>NOT(ISERROR(SEARCH("正",I7)))</formula>
    </cfRule>
    <cfRule type="containsText" priority="354" operator="containsText" dxfId="4" text="休">
      <formula>NOT(ISERROR(SEARCH("休",I7)))</formula>
    </cfRule>
    <cfRule type="containsText" priority="353" operator="containsText" dxfId="32" text="希">
      <formula>NOT(ISERROR(SEARCH("希",I7)))</formula>
    </cfRule>
    <cfRule type="containsText" priority="352" operator="containsText" dxfId="2" text="研">
      <formula>NOT(ISERROR(SEARCH("研",I7)))</formula>
    </cfRule>
    <cfRule type="containsText" priority="351" operator="containsText" dxfId="1" text="E">
      <formula>NOT(ISERROR(SEARCH("E",I7)))</formula>
    </cfRule>
    <cfRule type="containsText" priority="350" operator="containsText" dxfId="13" text="A">
      <formula>NOT(ISERROR(SEARCH("A",I7)))</formula>
    </cfRule>
    <cfRule type="containsText" priority="358" operator="containsText" dxfId="8" text="明">
      <formula>NOT(ISERROR(SEARCH("明",I7)))</formula>
    </cfRule>
    <cfRule type="containsText" priority="359" operator="containsText" dxfId="8" text="夜">
      <formula>NOT(ISERROR(SEARCH("夜",I7)))</formula>
    </cfRule>
    <cfRule type="containsText" priority="360" operator="containsText" dxfId="10" text="C">
      <formula>NOT(ISERROR(SEARCH("C",I7)))</formula>
    </cfRule>
    <cfRule type="containsText" priority="362" operator="containsText" dxfId="1" text="B">
      <formula>NOT(ISERROR(SEARCH("B",I7)))</formula>
    </cfRule>
  </conditionalFormatting>
  <conditionalFormatting sqref="N7:O7">
    <cfRule type="containsText" priority="378" operator="containsText" dxfId="2" text="研">
      <formula>NOT(ISERROR(SEARCH("研",N7)))</formula>
    </cfRule>
    <cfRule type="containsText" priority="379" operator="containsText" dxfId="32" text="希">
      <formula>NOT(ISERROR(SEARCH("希",N7)))</formula>
    </cfRule>
    <cfRule type="containsText" priority="380" operator="containsText" dxfId="4" text="休">
      <formula>NOT(ISERROR(SEARCH("休",N7)))</formula>
    </cfRule>
    <cfRule type="containsText" priority="381" operator="containsText" dxfId="5" text="正">
      <formula>NOT(ISERROR(SEARCH("正",N7)))</formula>
    </cfRule>
    <cfRule type="containsText" priority="382" operator="containsText" dxfId="35" text="有">
      <formula>NOT(ISERROR(SEARCH("有",N7)))</formula>
    </cfRule>
    <cfRule type="containsText" priority="376" operator="containsText" dxfId="13" text="A">
      <formula>NOT(ISERROR(SEARCH("A",N7)))</formula>
    </cfRule>
    <cfRule type="containsText" priority="388" operator="containsText" dxfId="1" text="B">
      <formula>NOT(ISERROR(SEARCH("B",N7)))</formula>
    </cfRule>
    <cfRule type="containsText" priority="387" operator="containsText" dxfId="1" text="D">
      <formula>NOT(ISERROR(SEARCH("D",N7)))</formula>
    </cfRule>
    <cfRule type="containsText" priority="377" operator="containsText" dxfId="1" text="E">
      <formula>NOT(ISERROR(SEARCH("E",N7)))</formula>
    </cfRule>
    <cfRule type="containsText" priority="385" operator="containsText" dxfId="8" text="夜">
      <formula>NOT(ISERROR(SEARCH("夜",N7)))</formula>
    </cfRule>
    <cfRule type="containsText" priority="384" operator="containsText" dxfId="8" text="明">
      <formula>NOT(ISERROR(SEARCH("明",N7)))</formula>
    </cfRule>
    <cfRule type="containsText" priority="386" operator="containsText" dxfId="10" text="C">
      <formula>NOT(ISERROR(SEARCH("C",N7)))</formula>
    </cfRule>
    <cfRule type="containsText" priority="383" operator="containsText" dxfId="7" text="調">
      <formula>NOT(ISERROR(SEARCH("調",N7)))</formula>
    </cfRule>
  </conditionalFormatting>
  <conditionalFormatting sqref="O9:P9">
    <cfRule type="containsText" priority="191" operator="containsText" dxfId="10" text="C">
      <formula>NOT(ISERROR(SEARCH("C",O9)))</formula>
    </cfRule>
    <cfRule type="containsText" priority="189" operator="containsText" dxfId="8" text="明">
      <formula>NOT(ISERROR(SEARCH("明",O9)))</formula>
    </cfRule>
    <cfRule type="containsText" priority="190" operator="containsText" dxfId="8" text="夜">
      <formula>NOT(ISERROR(SEARCH("夜",O9)))</formula>
    </cfRule>
    <cfRule type="containsText" priority="193" operator="containsText" dxfId="1" text="B">
      <formula>NOT(ISERROR(SEARCH("B",O9)))</formula>
    </cfRule>
    <cfRule type="containsText" priority="192" operator="containsText" dxfId="1" text="D">
      <formula>NOT(ISERROR(SEARCH("D",O9)))</formula>
    </cfRule>
  </conditionalFormatting>
  <conditionalFormatting sqref="P7:T7">
    <cfRule type="containsText" priority="335" operator="containsText" dxfId="1" text="D">
      <formula>NOT(ISERROR(SEARCH("D",P7)))</formula>
    </cfRule>
    <cfRule type="containsText" priority="332" operator="containsText" dxfId="8" text="明">
      <formula>NOT(ISERROR(SEARCH("明",P7)))</formula>
    </cfRule>
    <cfRule type="containsText" priority="331" operator="containsText" dxfId="7" text="調">
      <formula>NOT(ISERROR(SEARCH("調",P7)))</formula>
    </cfRule>
    <cfRule type="containsText" priority="330" operator="containsText" dxfId="35" text="有">
      <formula>NOT(ISERROR(SEARCH("有",P7)))</formula>
    </cfRule>
    <cfRule type="containsText" priority="333" operator="containsText" dxfId="8" text="夜">
      <formula>NOT(ISERROR(SEARCH("夜",P7)))</formula>
    </cfRule>
    <cfRule type="containsText" priority="334" operator="containsText" dxfId="10" text="C">
      <formula>NOT(ISERROR(SEARCH("C",P7)))</formula>
    </cfRule>
    <cfRule type="containsText" priority="336" operator="containsText" dxfId="1" text="B">
      <formula>NOT(ISERROR(SEARCH("B",P7)))</formula>
    </cfRule>
    <cfRule type="containsText" priority="329" operator="containsText" dxfId="5" text="正">
      <formula>NOT(ISERROR(SEARCH("正",P7)))</formula>
    </cfRule>
    <cfRule type="containsText" priority="328" operator="containsText" dxfId="4" text="休">
      <formula>NOT(ISERROR(SEARCH("休",P7)))</formula>
    </cfRule>
    <cfRule type="containsText" priority="327" operator="containsText" dxfId="32" text="希">
      <formula>NOT(ISERROR(SEARCH("希",P7)))</formula>
    </cfRule>
    <cfRule type="containsText" priority="324" operator="containsText" dxfId="13" text="A">
      <formula>NOT(ISERROR(SEARCH("A",P7)))</formula>
    </cfRule>
    <cfRule type="containsText" priority="326" operator="containsText" dxfId="2" text="研">
      <formula>NOT(ISERROR(SEARCH("研",P7)))</formula>
    </cfRule>
    <cfRule type="containsText" priority="325" operator="containsText" dxfId="1" text="E">
      <formula>NOT(ISERROR(SEARCH("E",P7)))</formula>
    </cfRule>
  </conditionalFormatting>
  <conditionalFormatting sqref="Q7:T7">
    <cfRule type="containsText" priority="315" operator="containsText" dxfId="4" text="休">
      <formula>NOT(ISERROR(SEARCH("休",Q7)))</formula>
    </cfRule>
    <cfRule type="containsText" priority="323" operator="containsText" dxfId="1" text="B">
      <formula>NOT(ISERROR(SEARCH("B",Q7)))</formula>
    </cfRule>
    <cfRule type="containsText" priority="337" operator="containsText" dxfId="13" text="A">
      <formula>NOT(ISERROR(SEARCH("A",Q7)))</formula>
    </cfRule>
    <cfRule type="containsText" priority="314" operator="containsText" dxfId="32" text="希">
      <formula>NOT(ISERROR(SEARCH("希",Q7)))</formula>
    </cfRule>
    <cfRule type="containsText" priority="313" operator="containsText" dxfId="2" text="研">
      <formula>NOT(ISERROR(SEARCH("研",Q7)))</formula>
    </cfRule>
    <cfRule type="containsText" priority="338" operator="containsText" dxfId="1" text="E">
      <formula>NOT(ISERROR(SEARCH("E",Q7)))</formula>
    </cfRule>
    <cfRule type="containsText" priority="312" operator="containsText" dxfId="1" text="E">
      <formula>NOT(ISERROR(SEARCH("E",Q7)))</formula>
    </cfRule>
    <cfRule type="containsText" priority="339" operator="containsText" dxfId="2" text="研">
      <formula>NOT(ISERROR(SEARCH("研",Q7)))</formula>
    </cfRule>
    <cfRule type="containsText" priority="311" operator="containsText" dxfId="13" text="A">
      <formula>NOT(ISERROR(SEARCH("A",Q7)))</formula>
    </cfRule>
    <cfRule type="containsText" priority="349" operator="containsText" dxfId="1" text="B">
      <formula>NOT(ISERROR(SEARCH("B",Q7)))</formula>
    </cfRule>
    <cfRule type="containsText" priority="348" operator="containsText" dxfId="1" text="D">
      <formula>NOT(ISERROR(SEARCH("D",Q7)))</formula>
    </cfRule>
    <cfRule type="containsText" priority="347" operator="containsText" dxfId="10" text="C">
      <formula>NOT(ISERROR(SEARCH("C",Q7)))</formula>
    </cfRule>
    <cfRule type="containsText" priority="317" operator="containsText" dxfId="35" text="有">
      <formula>NOT(ISERROR(SEARCH("有",Q7)))</formula>
    </cfRule>
    <cfRule type="containsText" priority="318" operator="containsText" dxfId="7" text="調">
      <formula>NOT(ISERROR(SEARCH("調",Q7)))</formula>
    </cfRule>
    <cfRule type="containsText" priority="319" operator="containsText" dxfId="8" text="明">
      <formula>NOT(ISERROR(SEARCH("明",Q7)))</formula>
    </cfRule>
    <cfRule type="containsText" priority="346" operator="containsText" dxfId="8" text="夜">
      <formula>NOT(ISERROR(SEARCH("夜",Q7)))</formula>
    </cfRule>
    <cfRule type="containsText" priority="345" operator="containsText" dxfId="8" text="明">
      <formula>NOT(ISERROR(SEARCH("明",Q7)))</formula>
    </cfRule>
    <cfRule type="containsText" priority="344" operator="containsText" dxfId="7" text="調">
      <formula>NOT(ISERROR(SEARCH("調",Q7)))</formula>
    </cfRule>
    <cfRule type="containsText" priority="340" operator="containsText" dxfId="32" text="希">
      <formula>NOT(ISERROR(SEARCH("希",Q7)))</formula>
    </cfRule>
    <cfRule type="containsText" priority="341" operator="containsText" dxfId="4" text="休">
      <formula>NOT(ISERROR(SEARCH("休",Q7)))</formula>
    </cfRule>
    <cfRule type="containsText" priority="342" operator="containsText" dxfId="5" text="正">
      <formula>NOT(ISERROR(SEARCH("正",Q7)))</formula>
    </cfRule>
    <cfRule type="containsText" priority="343" operator="containsText" dxfId="35" text="有">
      <formula>NOT(ISERROR(SEARCH("有",Q7)))</formula>
    </cfRule>
    <cfRule type="containsText" priority="320" operator="containsText" dxfId="8" text="夜">
      <formula>NOT(ISERROR(SEARCH("夜",Q7)))</formula>
    </cfRule>
    <cfRule type="containsText" priority="321" operator="containsText" dxfId="10" text="C">
      <formula>NOT(ISERROR(SEARCH("C",Q7)))</formula>
    </cfRule>
    <cfRule type="containsText" priority="322" operator="containsText" dxfId="1" text="D">
      <formula>NOT(ISERROR(SEARCH("D",Q7)))</formula>
    </cfRule>
    <cfRule type="containsText" priority="316" operator="containsText" dxfId="5" text="正">
      <formula>NOT(ISERROR(SEARCH("正",Q7)))</formula>
    </cfRule>
  </conditionalFormatting>
  <conditionalFormatting sqref="R10">
    <cfRule type="containsText" priority="167" operator="containsText" dxfId="8" text="夜">
      <formula>NOT(ISERROR(SEARCH("夜",R10)))</formula>
    </cfRule>
    <cfRule type="containsText" priority="170" operator="containsText" dxfId="1" text="B">
      <formula>NOT(ISERROR(SEARCH("B",R10)))</formula>
    </cfRule>
    <cfRule type="containsText" priority="169" operator="containsText" dxfId="1" text="D">
      <formula>NOT(ISERROR(SEARCH("D",R10)))</formula>
    </cfRule>
    <cfRule type="containsText" priority="168" operator="containsText" dxfId="10" text="C">
      <formula>NOT(ISERROR(SEARCH("C",R10)))</formula>
    </cfRule>
    <cfRule type="containsText" priority="166" operator="containsText" dxfId="8" text="明">
      <formula>NOT(ISERROR(SEARCH("明",R10)))</formula>
    </cfRule>
  </conditionalFormatting>
  <conditionalFormatting sqref="S7">
    <cfRule type="containsText" priority="230" operator="containsText" dxfId="10" text="C">
      <formula>NOT(ISERROR(SEARCH("C",S7)))</formula>
    </cfRule>
    <cfRule type="containsText" priority="231" operator="containsText" dxfId="1" text="D">
      <formula>NOT(ISERROR(SEARCH("D",S7)))</formula>
    </cfRule>
    <cfRule type="containsText" priority="229" operator="containsText" dxfId="8" text="夜">
      <formula>NOT(ISERROR(SEARCH("夜",S7)))</formula>
    </cfRule>
    <cfRule type="containsText" priority="228" operator="containsText" dxfId="8" text="明">
      <formula>NOT(ISERROR(SEARCH("明",S7)))</formula>
    </cfRule>
    <cfRule type="containsText" priority="227" operator="containsText" dxfId="7" text="調">
      <formula>NOT(ISERROR(SEARCH("調",S7)))</formula>
    </cfRule>
    <cfRule type="containsText" priority="226" operator="containsText" dxfId="35" text="有">
      <formula>NOT(ISERROR(SEARCH("有",S7)))</formula>
    </cfRule>
    <cfRule type="containsText" priority="225" operator="containsText" dxfId="5" text="正">
      <formula>NOT(ISERROR(SEARCH("正",S7)))</formula>
    </cfRule>
    <cfRule type="containsText" priority="224" operator="containsText" dxfId="4" text="休">
      <formula>NOT(ISERROR(SEARCH("休",S7)))</formula>
    </cfRule>
    <cfRule type="containsText" priority="223" operator="containsText" dxfId="32" text="希">
      <formula>NOT(ISERROR(SEARCH("希",S7)))</formula>
    </cfRule>
    <cfRule type="containsText" priority="222" operator="containsText" dxfId="2" text="研">
      <formula>NOT(ISERROR(SEARCH("研",S7)))</formula>
    </cfRule>
    <cfRule type="containsText" priority="221" operator="containsText" dxfId="1" text="E">
      <formula>NOT(ISERROR(SEARCH("E",S7)))</formula>
    </cfRule>
    <cfRule type="containsText" priority="220" operator="containsText" dxfId="13" text="A">
      <formula>NOT(ISERROR(SEARCH("A",S7)))</formula>
    </cfRule>
    <cfRule type="containsText" priority="232" operator="containsText" dxfId="1" text="B">
      <formula>NOT(ISERROR(SEARCH("B",S7)))</formula>
    </cfRule>
  </conditionalFormatting>
  <conditionalFormatting sqref="S9">
    <cfRule type="containsText" priority="172" operator="containsText" dxfId="8" text="夜">
      <formula>NOT(ISERROR(SEARCH("夜",S9)))</formula>
    </cfRule>
    <cfRule type="containsText" priority="171" operator="containsText" dxfId="8" text="明">
      <formula>NOT(ISERROR(SEARCH("明",S9)))</formula>
    </cfRule>
    <cfRule type="containsText" priority="175" operator="containsText" dxfId="1" text="B">
      <formula>NOT(ISERROR(SEARCH("B",S9)))</formula>
    </cfRule>
    <cfRule type="containsText" priority="174" operator="containsText" dxfId="1" text="D">
      <formula>NOT(ISERROR(SEARCH("D",S9)))</formula>
    </cfRule>
    <cfRule type="containsText" priority="173" operator="containsText" dxfId="10" text="C">
      <formula>NOT(ISERROR(SEARCH("C",S9)))</formula>
    </cfRule>
  </conditionalFormatting>
  <conditionalFormatting sqref="V10">
    <cfRule type="containsText" priority="165" operator="containsText" dxfId="1" text="B">
      <formula>NOT(ISERROR(SEARCH("B",V10)))</formula>
    </cfRule>
    <cfRule type="containsText" priority="164" operator="containsText" dxfId="1" text="D">
      <formula>NOT(ISERROR(SEARCH("D",V10)))</formula>
    </cfRule>
    <cfRule type="containsText" priority="161" operator="containsText" dxfId="8" text="明">
      <formula>NOT(ISERROR(SEARCH("明",V10)))</formula>
    </cfRule>
    <cfRule type="containsText" priority="162" operator="containsText" dxfId="8" text="夜">
      <formula>NOT(ISERROR(SEARCH("夜",V10)))</formula>
    </cfRule>
    <cfRule type="containsText" priority="163" operator="containsText" dxfId="10" text="C">
      <formula>NOT(ISERROR(SEARCH("C",V10)))</formula>
    </cfRule>
  </conditionalFormatting>
  <conditionalFormatting sqref="AA25">
    <cfRule type="containsText" priority="83" operator="containsText" dxfId="1" text="E">
      <formula>NOT(ISERROR(SEARCH("E",AA25)))</formula>
    </cfRule>
    <cfRule type="containsText" priority="94" operator="containsText" dxfId="1" text="B">
      <formula>NOT(ISERROR(SEARCH("B",AA25)))</formula>
    </cfRule>
    <cfRule type="containsText" priority="93" operator="containsText" dxfId="1" text="D">
      <formula>NOT(ISERROR(SEARCH("D",AA25)))</formula>
    </cfRule>
    <cfRule type="containsText" priority="92" operator="containsText" dxfId="10" text="C">
      <formula>NOT(ISERROR(SEARCH("C",AA25)))</formula>
    </cfRule>
    <cfRule type="containsText" priority="91" operator="containsText" dxfId="8" text="夜">
      <formula>NOT(ISERROR(SEARCH("夜",AA25)))</formula>
    </cfRule>
    <cfRule type="containsText" priority="90" operator="containsText" dxfId="8" text="明">
      <formula>NOT(ISERROR(SEARCH("明",AA25)))</formula>
    </cfRule>
    <cfRule type="containsText" priority="89" operator="containsText" dxfId="7" text="調">
      <formula>NOT(ISERROR(SEARCH("調",AA25)))</formula>
    </cfRule>
    <cfRule type="containsText" priority="88" operator="containsText" dxfId="35" text="有">
      <formula>NOT(ISERROR(SEARCH("有",AA25)))</formula>
    </cfRule>
    <cfRule type="containsText" priority="87" operator="containsText" dxfId="5" text="正">
      <formula>NOT(ISERROR(SEARCH("正",AA25)))</formula>
    </cfRule>
    <cfRule type="containsText" priority="86" operator="containsText" dxfId="4" text="休">
      <formula>NOT(ISERROR(SEARCH("休",AA25)))</formula>
    </cfRule>
    <cfRule type="containsText" priority="85" operator="containsText" dxfId="32" text="希">
      <formula>NOT(ISERROR(SEARCH("希",AA25)))</formula>
    </cfRule>
    <cfRule type="containsText" priority="84" operator="containsText" dxfId="2" text="研">
      <formula>NOT(ISERROR(SEARCH("研",AA25)))</formula>
    </cfRule>
    <cfRule type="containsText" priority="82" operator="containsText" dxfId="13" text="A">
      <formula>NOT(ISERROR(SEARCH("A",AA25)))</formula>
    </cfRule>
  </conditionalFormatting>
  <conditionalFormatting sqref="AA27">
    <cfRule type="containsText" priority="54" operator="containsText" dxfId="1" text="D">
      <formula>NOT(ISERROR(SEARCH("D",AA27)))</formula>
    </cfRule>
    <cfRule type="containsText" priority="53" operator="containsText" dxfId="10" text="C">
      <formula>NOT(ISERROR(SEARCH("C",AA27)))</formula>
    </cfRule>
    <cfRule type="containsText" priority="52" operator="containsText" dxfId="8" text="夜">
      <formula>NOT(ISERROR(SEARCH("夜",AA27)))</formula>
    </cfRule>
    <cfRule type="containsText" priority="51" operator="containsText" dxfId="8" text="明">
      <formula>NOT(ISERROR(SEARCH("明",AA27)))</formula>
    </cfRule>
    <cfRule type="containsText" priority="50" operator="containsText" dxfId="13" text="調">
      <formula>NOT(ISERROR(SEARCH("調",AA27)))</formula>
    </cfRule>
    <cfRule type="containsText" priority="49" operator="containsText" dxfId="35" text="有">
      <formula>NOT(ISERROR(SEARCH("有",AA27)))</formula>
    </cfRule>
    <cfRule type="containsText" priority="48" operator="containsText" dxfId="5" text="正">
      <formula>NOT(ISERROR(SEARCH("正",AA27)))</formula>
    </cfRule>
    <cfRule type="containsText" priority="47" operator="containsText" dxfId="4" text="休">
      <formula>NOT(ISERROR(SEARCH("休",AA27)))</formula>
    </cfRule>
    <cfRule type="containsText" priority="46" operator="containsText" dxfId="32" text="希">
      <formula>NOT(ISERROR(SEARCH("希",AA27)))</formula>
    </cfRule>
    <cfRule type="containsText" priority="45" operator="containsText" dxfId="2" text="研">
      <formula>NOT(ISERROR(SEARCH("研",AA27)))</formula>
    </cfRule>
    <cfRule type="containsText" priority="55" operator="containsText" dxfId="1" text="B">
      <formula>NOT(ISERROR(SEARCH("B",AA27)))</formula>
    </cfRule>
    <cfRule type="containsText" priority="44" operator="containsText" dxfId="13" text="A">
      <formula>NOT(ISERROR(SEARCH("A",AA27)))</formula>
    </cfRule>
    <cfRule type="containsText" priority="43" operator="containsText" dxfId="13" text="E">
      <formula>NOT(ISERROR(SEARCH("E",AA27)))</formula>
    </cfRule>
  </conditionalFormatting>
  <conditionalFormatting sqref="AD25">
    <cfRule type="containsText" priority="79" operator="containsText" dxfId="10" text="C">
      <formula>NOT(ISERROR(SEARCH("C",AD25)))</formula>
    </cfRule>
    <cfRule type="containsText" priority="69" operator="containsText" dxfId="13" text="A">
      <formula>NOT(ISERROR(SEARCH("A",AD25)))</formula>
    </cfRule>
    <cfRule type="containsText" priority="81" operator="containsText" dxfId="1" text="B">
      <formula>NOT(ISERROR(SEARCH("B",AD25)))</formula>
    </cfRule>
    <cfRule type="containsText" priority="70" operator="containsText" dxfId="1" text="E">
      <formula>NOT(ISERROR(SEARCH("E",AD25)))</formula>
    </cfRule>
    <cfRule type="containsText" priority="71" operator="containsText" dxfId="2" text="研">
      <formula>NOT(ISERROR(SEARCH("研",AD25)))</formula>
    </cfRule>
    <cfRule type="containsText" priority="72" operator="containsText" dxfId="32" text="希">
      <formula>NOT(ISERROR(SEARCH("希",AD25)))</formula>
    </cfRule>
    <cfRule type="containsText" priority="73" operator="containsText" dxfId="4" text="休">
      <formula>NOT(ISERROR(SEARCH("休",AD25)))</formula>
    </cfRule>
    <cfRule type="containsText" priority="74" operator="containsText" dxfId="5" text="正">
      <formula>NOT(ISERROR(SEARCH("正",AD25)))</formula>
    </cfRule>
    <cfRule type="containsText" priority="75" operator="containsText" dxfId="35" text="有">
      <formula>NOT(ISERROR(SEARCH("有",AD25)))</formula>
    </cfRule>
    <cfRule type="containsText" priority="76" operator="containsText" dxfId="7" text="調">
      <formula>NOT(ISERROR(SEARCH("調",AD25)))</formula>
    </cfRule>
    <cfRule type="containsText" priority="77" operator="containsText" dxfId="8" text="明">
      <formula>NOT(ISERROR(SEARCH("明",AD25)))</formula>
    </cfRule>
    <cfRule type="containsText" priority="78" operator="containsText" dxfId="8" text="夜">
      <formula>NOT(ISERROR(SEARCH("夜",AD25)))</formula>
    </cfRule>
    <cfRule type="containsText" priority="80" operator="containsText" dxfId="1" text="D">
      <formula>NOT(ISERROR(SEARCH("D",AD25)))</formula>
    </cfRule>
  </conditionalFormatting>
  <conditionalFormatting sqref="AD28">
    <cfRule type="containsText" priority="16" operator="containsText" dxfId="1" text="B">
      <formula>NOT(ISERROR(SEARCH("B",AD28)))</formula>
    </cfRule>
    <cfRule type="containsText" priority="12" operator="containsText" dxfId="8" text="明">
      <formula>NOT(ISERROR(SEARCH("明",AD28)))</formula>
    </cfRule>
    <cfRule type="containsText" priority="11" operator="containsText" dxfId="13" text="調">
      <formula>NOT(ISERROR(SEARCH("調",AD28)))</formula>
    </cfRule>
    <cfRule type="containsText" priority="10" operator="containsText" dxfId="35" text="有">
      <formula>NOT(ISERROR(SEARCH("有",AD28)))</formula>
    </cfRule>
    <cfRule type="containsText" priority="9" operator="containsText" dxfId="5" text="正">
      <formula>NOT(ISERROR(SEARCH("正",AD28)))</formula>
    </cfRule>
    <cfRule type="containsText" priority="8" operator="containsText" dxfId="4" text="休">
      <formula>NOT(ISERROR(SEARCH("休",AD28)))</formula>
    </cfRule>
    <cfRule type="containsText" priority="7" operator="containsText" dxfId="32" text="希">
      <formula>NOT(ISERROR(SEARCH("希",AD28)))</formula>
    </cfRule>
    <cfRule type="containsText" priority="6" operator="containsText" dxfId="2" text="研">
      <formula>NOT(ISERROR(SEARCH("研",AD28)))</formula>
    </cfRule>
    <cfRule type="containsText" priority="5" operator="containsText" dxfId="13" text="A">
      <formula>NOT(ISERROR(SEARCH("A",AD28)))</formula>
    </cfRule>
    <cfRule type="containsText" priority="4" operator="containsText" dxfId="13" text="E">
      <formula>NOT(ISERROR(SEARCH("E",AD28)))</formula>
    </cfRule>
    <cfRule type="containsText" priority="15" operator="containsText" dxfId="1" text="D">
      <formula>NOT(ISERROR(SEARCH("D",AD28)))</formula>
    </cfRule>
    <cfRule type="containsText" priority="13" operator="containsText" dxfId="8" text="夜">
      <formula>NOT(ISERROR(SEARCH("夜",AD28)))</formula>
    </cfRule>
    <cfRule type="containsText" priority="14" operator="containsText" dxfId="10" text="C">
      <formula>NOT(ISERROR(SEARCH("C",AD28)))</formula>
    </cfRule>
  </conditionalFormatting>
  <conditionalFormatting sqref="AD7:AE7">
    <cfRule type="containsText" priority="287" operator="containsText" dxfId="2" text="研">
      <formula>NOT(ISERROR(SEARCH("研",AD7)))</formula>
    </cfRule>
    <cfRule type="containsText" priority="286" operator="containsText" dxfId="1" text="E">
      <formula>NOT(ISERROR(SEARCH("E",AD7)))</formula>
    </cfRule>
    <cfRule type="containsText" priority="309" operator="containsText" dxfId="1" text="D">
      <formula>NOT(ISERROR(SEARCH("D",AD7)))</formula>
    </cfRule>
    <cfRule type="containsText" priority="308" operator="containsText" dxfId="10" text="C">
      <formula>NOT(ISERROR(SEARCH("C",AD7)))</formula>
    </cfRule>
    <cfRule type="containsText" priority="307" operator="containsText" dxfId="8" text="夜">
      <formula>NOT(ISERROR(SEARCH("夜",AD7)))</formula>
    </cfRule>
    <cfRule type="containsText" priority="306" operator="containsText" dxfId="8" text="明">
      <formula>NOT(ISERROR(SEARCH("明",AD7)))</formula>
    </cfRule>
    <cfRule type="containsText" priority="305" operator="containsText" dxfId="7" text="調">
      <formula>NOT(ISERROR(SEARCH("調",AD7)))</formula>
    </cfRule>
    <cfRule type="containsText" priority="304" operator="containsText" dxfId="35" text="有">
      <formula>NOT(ISERROR(SEARCH("有",AD7)))</formula>
    </cfRule>
    <cfRule type="containsText" priority="303" operator="containsText" dxfId="5" text="正">
      <formula>NOT(ISERROR(SEARCH("正",AD7)))</formula>
    </cfRule>
    <cfRule type="containsText" priority="302" operator="containsText" dxfId="4" text="休">
      <formula>NOT(ISERROR(SEARCH("休",AD7)))</formula>
    </cfRule>
    <cfRule type="containsText" priority="301" operator="containsText" dxfId="32" text="希">
      <formula>NOT(ISERROR(SEARCH("希",AD7)))</formula>
    </cfRule>
    <cfRule type="containsText" priority="300" operator="containsText" dxfId="2" text="研">
      <formula>NOT(ISERROR(SEARCH("研",AD7)))</formula>
    </cfRule>
    <cfRule type="containsText" priority="299" operator="containsText" dxfId="1" text="E">
      <formula>NOT(ISERROR(SEARCH("E",AD7)))</formula>
    </cfRule>
    <cfRule type="containsText" priority="298" operator="containsText" dxfId="13" text="A">
      <formula>NOT(ISERROR(SEARCH("A",AD7)))</formula>
    </cfRule>
    <cfRule type="containsText" priority="297" operator="containsText" dxfId="1" text="B">
      <formula>NOT(ISERROR(SEARCH("B",AD7)))</formula>
    </cfRule>
    <cfRule type="containsText" priority="296" operator="containsText" dxfId="1" text="D">
      <formula>NOT(ISERROR(SEARCH("D",AD7)))</formula>
    </cfRule>
    <cfRule type="containsText" priority="295" operator="containsText" dxfId="10" text="C">
      <formula>NOT(ISERROR(SEARCH("C",AD7)))</formula>
    </cfRule>
    <cfRule type="containsText" priority="294" operator="containsText" dxfId="8" text="夜">
      <formula>NOT(ISERROR(SEARCH("夜",AD7)))</formula>
    </cfRule>
    <cfRule type="containsText" priority="293" operator="containsText" dxfId="8" text="明">
      <formula>NOT(ISERROR(SEARCH("明",AD7)))</formula>
    </cfRule>
    <cfRule type="containsText" priority="292" operator="containsText" dxfId="7" text="調">
      <formula>NOT(ISERROR(SEARCH("調",AD7)))</formula>
    </cfRule>
    <cfRule type="containsText" priority="291" operator="containsText" dxfId="35" text="有">
      <formula>NOT(ISERROR(SEARCH("有",AD7)))</formula>
    </cfRule>
    <cfRule type="containsText" priority="290" operator="containsText" dxfId="5" text="正">
      <formula>NOT(ISERROR(SEARCH("正",AD7)))</formula>
    </cfRule>
    <cfRule type="containsText" priority="289" operator="containsText" dxfId="4" text="休">
      <formula>NOT(ISERROR(SEARCH("休",AD7)))</formula>
    </cfRule>
    <cfRule type="containsText" priority="288" operator="containsText" dxfId="32" text="希">
      <formula>NOT(ISERROR(SEARCH("希",AD7)))</formula>
    </cfRule>
    <cfRule type="containsText" priority="285" operator="containsText" dxfId="13" text="A">
      <formula>NOT(ISERROR(SEARCH("A",AD7)))</formula>
    </cfRule>
    <cfRule type="containsText" priority="284" operator="containsText" dxfId="1" text="B">
      <formula>NOT(ISERROR(SEARCH("B",AD7)))</formula>
    </cfRule>
    <cfRule type="containsText" priority="283" operator="containsText" dxfId="1" text="D">
      <formula>NOT(ISERROR(SEARCH("D",AD7)))</formula>
    </cfRule>
    <cfRule type="containsText" priority="282" operator="containsText" dxfId="10" text="C">
      <formula>NOT(ISERROR(SEARCH("C",AD7)))</formula>
    </cfRule>
    <cfRule type="containsText" priority="281" operator="containsText" dxfId="8" text="夜">
      <formula>NOT(ISERROR(SEARCH("夜",AD7)))</formula>
    </cfRule>
    <cfRule type="containsText" priority="280" operator="containsText" dxfId="8" text="明">
      <formula>NOT(ISERROR(SEARCH("明",AD7)))</formula>
    </cfRule>
    <cfRule type="containsText" priority="279" operator="containsText" dxfId="7" text="調">
      <formula>NOT(ISERROR(SEARCH("調",AD7)))</formula>
    </cfRule>
    <cfRule type="containsText" priority="278" operator="containsText" dxfId="35" text="有">
      <formula>NOT(ISERROR(SEARCH("有",AD7)))</formula>
    </cfRule>
    <cfRule type="containsText" priority="277" operator="containsText" dxfId="5" text="正">
      <formula>NOT(ISERROR(SEARCH("正",AD7)))</formula>
    </cfRule>
    <cfRule type="containsText" priority="276" operator="containsText" dxfId="4" text="休">
      <formula>NOT(ISERROR(SEARCH("休",AD7)))</formula>
    </cfRule>
    <cfRule type="containsText" priority="275" operator="containsText" dxfId="32" text="希">
      <formula>NOT(ISERROR(SEARCH("希",AD7)))</formula>
    </cfRule>
    <cfRule type="containsText" priority="274" operator="containsText" dxfId="2" text="研">
      <formula>NOT(ISERROR(SEARCH("研",AD7)))</formula>
    </cfRule>
    <cfRule type="containsText" priority="273" operator="containsText" dxfId="1" text="E">
      <formula>NOT(ISERROR(SEARCH("E",AD7)))</formula>
    </cfRule>
    <cfRule type="containsText" priority="272" operator="containsText" dxfId="13" text="A">
      <formula>NOT(ISERROR(SEARCH("A",AD7)))</formula>
    </cfRule>
    <cfRule type="containsText" priority="310" operator="containsText" dxfId="1" text="B">
      <formula>NOT(ISERROR(SEARCH("B",AD7)))</formula>
    </cfRule>
  </conditionalFormatting>
  <conditionalFormatting sqref="AG7:AH7">
    <cfRule type="containsText" priority="263" operator="containsText" dxfId="4" text="休">
      <formula>NOT(ISERROR(SEARCH("休",AG7)))</formula>
    </cfRule>
    <cfRule type="containsText" priority="244" operator="containsText" dxfId="1" text="D">
      <formula>NOT(ISERROR(SEARCH("D",AG7)))</formula>
    </cfRule>
    <cfRule type="containsText" priority="270" operator="containsText" dxfId="1" text="D">
      <formula>NOT(ISERROR(SEARCH("D",AG7)))</formula>
    </cfRule>
    <cfRule type="containsText" priority="269" operator="containsText" dxfId="10" text="C">
      <formula>NOT(ISERROR(SEARCH("C",AG7)))</formula>
    </cfRule>
    <cfRule type="containsText" priority="268" operator="containsText" dxfId="8" text="夜">
      <formula>NOT(ISERROR(SEARCH("夜",AG7)))</formula>
    </cfRule>
    <cfRule type="containsText" priority="267" operator="containsText" dxfId="8" text="明">
      <formula>NOT(ISERROR(SEARCH("明",AG7)))</formula>
    </cfRule>
    <cfRule type="containsText" priority="266" operator="containsText" dxfId="7" text="調">
      <formula>NOT(ISERROR(SEARCH("調",AG7)))</formula>
    </cfRule>
    <cfRule type="containsText" priority="265" operator="containsText" dxfId="35" text="有">
      <formula>NOT(ISERROR(SEARCH("有",AG7)))</formula>
    </cfRule>
    <cfRule type="containsText" priority="264" operator="containsText" dxfId="5" text="正">
      <formula>NOT(ISERROR(SEARCH("正",AG7)))</formula>
    </cfRule>
    <cfRule type="containsText" priority="234" operator="containsText" dxfId="1" text="E">
      <formula>NOT(ISERROR(SEARCH("E",AG7)))</formula>
    </cfRule>
    <cfRule type="containsText" priority="262" operator="containsText" dxfId="32" text="希">
      <formula>NOT(ISERROR(SEARCH("希",AG7)))</formula>
    </cfRule>
    <cfRule type="containsText" priority="261" operator="containsText" dxfId="2" text="研">
      <formula>NOT(ISERROR(SEARCH("研",AG7)))</formula>
    </cfRule>
    <cfRule type="containsText" priority="260" operator="containsText" dxfId="1" text="E">
      <formula>NOT(ISERROR(SEARCH("E",AG7)))</formula>
    </cfRule>
    <cfRule type="containsText" priority="259" operator="containsText" dxfId="13" text="A">
      <formula>NOT(ISERROR(SEARCH("A",AG7)))</formula>
    </cfRule>
    <cfRule type="containsText" priority="258" operator="containsText" dxfId="1" text="B">
      <formula>NOT(ISERROR(SEARCH("B",AG7)))</formula>
    </cfRule>
    <cfRule type="containsText" priority="257" operator="containsText" dxfId="1" text="D">
      <formula>NOT(ISERROR(SEARCH("D",AG7)))</formula>
    </cfRule>
    <cfRule type="containsText" priority="256" operator="containsText" dxfId="10" text="C">
      <formula>NOT(ISERROR(SEARCH("C",AG7)))</formula>
    </cfRule>
    <cfRule type="containsText" priority="255" operator="containsText" dxfId="8" text="夜">
      <formula>NOT(ISERROR(SEARCH("夜",AG7)))</formula>
    </cfRule>
    <cfRule type="containsText" priority="254" operator="containsText" dxfId="8" text="明">
      <formula>NOT(ISERROR(SEARCH("明",AG7)))</formula>
    </cfRule>
    <cfRule type="containsText" priority="253" operator="containsText" dxfId="7" text="調">
      <formula>NOT(ISERROR(SEARCH("調",AG7)))</formula>
    </cfRule>
    <cfRule type="containsText" priority="252" operator="containsText" dxfId="35" text="有">
      <formula>NOT(ISERROR(SEARCH("有",AG7)))</formula>
    </cfRule>
    <cfRule type="containsText" priority="251" operator="containsText" dxfId="5" text="正">
      <formula>NOT(ISERROR(SEARCH("正",AG7)))</formula>
    </cfRule>
    <cfRule type="containsText" priority="250" operator="containsText" dxfId="4" text="休">
      <formula>NOT(ISERROR(SEARCH("休",AG7)))</formula>
    </cfRule>
    <cfRule type="containsText" priority="249" operator="containsText" dxfId="32" text="希">
      <formula>NOT(ISERROR(SEARCH("希",AG7)))</formula>
    </cfRule>
    <cfRule type="containsText" priority="248" operator="containsText" dxfId="2" text="研">
      <formula>NOT(ISERROR(SEARCH("研",AG7)))</formula>
    </cfRule>
    <cfRule type="containsText" priority="247" operator="containsText" dxfId="1" text="E">
      <formula>NOT(ISERROR(SEARCH("E",AG7)))</formula>
    </cfRule>
    <cfRule type="containsText" priority="246" operator="containsText" dxfId="13" text="A">
      <formula>NOT(ISERROR(SEARCH("A",AG7)))</formula>
    </cfRule>
    <cfRule type="containsText" priority="245" operator="containsText" dxfId="1" text="B">
      <formula>NOT(ISERROR(SEARCH("B",AG7)))</formula>
    </cfRule>
    <cfRule type="containsText" priority="235" operator="containsText" dxfId="2" text="研">
      <formula>NOT(ISERROR(SEARCH("研",AG7)))</formula>
    </cfRule>
    <cfRule type="containsText" priority="271" operator="containsText" dxfId="1" text="B">
      <formula>NOT(ISERROR(SEARCH("B",AG7)))</formula>
    </cfRule>
    <cfRule type="containsText" priority="236" operator="containsText" dxfId="32" text="希">
      <formula>NOT(ISERROR(SEARCH("希",AG7)))</formula>
    </cfRule>
    <cfRule type="containsText" priority="237" operator="containsText" dxfId="4" text="休">
      <formula>NOT(ISERROR(SEARCH("休",AG7)))</formula>
    </cfRule>
    <cfRule type="containsText" priority="238" operator="containsText" dxfId="5" text="正">
      <formula>NOT(ISERROR(SEARCH("正",AG7)))</formula>
    </cfRule>
    <cfRule type="containsText" priority="239" operator="containsText" dxfId="35" text="有">
      <formula>NOT(ISERROR(SEARCH("有",AG7)))</formula>
    </cfRule>
    <cfRule type="containsText" priority="240" operator="containsText" dxfId="7" text="調">
      <formula>NOT(ISERROR(SEARCH("調",AG7)))</formula>
    </cfRule>
    <cfRule type="containsText" priority="241" operator="containsText" dxfId="8" text="明">
      <formula>NOT(ISERROR(SEARCH("明",AG7)))</formula>
    </cfRule>
    <cfRule type="containsText" priority="242" operator="containsText" dxfId="8" text="夜">
      <formula>NOT(ISERROR(SEARCH("夜",AG7)))</formula>
    </cfRule>
    <cfRule type="containsText" priority="243" operator="containsText" dxfId="10" text="C">
      <formula>NOT(ISERROR(SEARCH("C",AG7)))</formula>
    </cfRule>
    <cfRule type="containsText" priority="233" operator="containsText" dxfId="13" text="A">
      <formula>NOT(ISERROR(SEARCH("A",AG7)))</formula>
    </cfRule>
  </conditionalFormatting>
  <conditionalFormatting sqref="AI11">
    <cfRule type="containsText" priority="533" operator="containsText" dxfId="10" text="C">
      <formula>NOT(ISERROR(SEARCH("C",AI11)))</formula>
    </cfRule>
    <cfRule type="containsText" priority="534" operator="containsText" dxfId="1" text="D">
      <formula>NOT(ISERROR(SEARCH("D",AI11)))</formula>
    </cfRule>
    <cfRule type="containsText" priority="535" operator="containsText" dxfId="1" text="B">
      <formula>NOT(ISERROR(SEARCH("B",AI11)))</formula>
    </cfRule>
    <cfRule type="containsText" priority="536" operator="containsText" dxfId="13" text="A">
      <formula>NOT(ISERROR(SEARCH("A",AI11)))</formula>
    </cfRule>
    <cfRule type="containsText" priority="532" operator="containsText" dxfId="8" text="夜">
      <formula>NOT(ISERROR(SEARCH("夜",AI11)))</formula>
    </cfRule>
    <cfRule type="containsText" priority="531" operator="containsText" dxfId="8" text="明">
      <formula>NOT(ISERROR(SEARCH("明",AI11)))</formula>
    </cfRule>
    <cfRule type="containsText" priority="530" operator="containsText" dxfId="7" text="調">
      <formula>NOT(ISERROR(SEARCH("調",AI11)))</formula>
    </cfRule>
    <cfRule type="containsText" priority="529" operator="containsText" dxfId="5" text="有">
      <formula>NOT(ISERROR(SEARCH("有",AI11)))</formula>
    </cfRule>
    <cfRule type="containsText" priority="528" operator="containsText" dxfId="5" text="正">
      <formula>NOT(ISERROR(SEARCH("正",AI11)))</formula>
    </cfRule>
    <cfRule type="containsText" priority="527" operator="containsText" dxfId="4" text="休">
      <formula>NOT(ISERROR(SEARCH("休",AI11)))</formula>
    </cfRule>
    <cfRule type="containsText" priority="526" operator="containsText" dxfId="3" text="希">
      <formula>NOT(ISERROR(SEARCH("希",AI11)))</formula>
    </cfRule>
    <cfRule type="containsText" priority="525" operator="containsText" dxfId="2" text="研">
      <formula>NOT(ISERROR(SEARCH("研",AI11)))</formula>
    </cfRule>
    <cfRule type="containsText" priority="524" operator="containsText" dxfId="1" text="E">
      <formula>NOT(ISERROR(SEARCH("E",AI11)))</formula>
    </cfRule>
    <cfRule type="containsText" priority="522" operator="containsText" text="G">
      <formula>NOT(ISERROR(SEARCH("G",AI11)))</formula>
    </cfRule>
    <cfRule type="containsText" priority="523" operator="containsText" dxfId="14" text="F">
      <formula>NOT(ISERROR(SEARCH("F",AI11)))</formula>
    </cfRule>
  </conditionalFormatting>
  <conditionalFormatting sqref="AI40">
    <cfRule type="containsText" priority="407" operator="containsText" dxfId="28" stopIfTrue="1" text="不成立">
      <formula>NOT(ISERROR(SEARCH("不成立",AI40)))</formula>
    </cfRule>
    <cfRule type="containsText" priority="406" operator="containsText" dxfId="23" stopIfTrue="1" text="30分残業">
      <formula>NOT(ISERROR(SEARCH("30分残業",AI40)))</formula>
    </cfRule>
  </conditionalFormatting>
  <conditionalFormatting sqref="AY6:AY30">
    <cfRule type="containsText" priority="3" operator="containsText" dxfId="0" text="NG">
      <formula>NOT(ISERROR(SEARCH("NG",AY6)))</formula>
    </cfRule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BF62"/>
  <sheetViews>
    <sheetView zoomScale="110" zoomScaleNormal="110" workbookViewId="0">
      <pane xSplit="3" ySplit="5" topLeftCell="Y6" activePane="bottomRight" state="frozen"/>
      <selection pane="topRight" activeCell="D1" sqref="D1"/>
      <selection pane="bottomLeft" activeCell="A6" sqref="A6"/>
      <selection pane="bottomRight" activeCell="C12" sqref="C12"/>
    </sheetView>
  </sheetViews>
  <sheetFormatPr baseColWidth="10" defaultColWidth="9" defaultRowHeight="17"/>
  <cols>
    <col width="6.5" customWidth="1" style="132" min="1" max="1"/>
    <col width="18.83203125" customWidth="1" style="132" min="2" max="2"/>
    <col width="22" customWidth="1" style="132" min="3" max="3"/>
    <col width="4.6640625" customWidth="1" style="132" min="4" max="34"/>
    <col width="3.6640625" customWidth="1" style="132" min="35" max="35"/>
    <col width="8.33203125" customWidth="1" style="132" min="36" max="36"/>
    <col width="8.6640625" customWidth="1" style="132" min="37" max="43"/>
    <col width="8.33203125" customWidth="1" style="132" min="44" max="44"/>
    <col width="8" customWidth="1" style="132" min="45" max="45"/>
    <col width="8.33203125" customWidth="1" style="132" min="46" max="46"/>
    <col width="8.6640625" customWidth="1" style="132" min="47" max="47"/>
    <col width="10.33203125" customWidth="1" style="132" min="48" max="48"/>
    <col width="14.1640625" customWidth="1" style="132" min="49" max="49"/>
    <col width="11" customWidth="1" style="132" min="50" max="50"/>
    <col width="9" customWidth="1" style="132" min="51" max="16384"/>
  </cols>
  <sheetData>
    <row r="1" ht="7" customHeight="1" s="447">
      <c r="M1" s="177" t="n"/>
      <c r="O1" s="177" t="n"/>
    </row>
    <row r="2" ht="34" customHeight="1" s="447" thickBot="1">
      <c r="B2" s="276" t="inlineStr">
        <is>
          <t>【結果】</t>
        </is>
      </c>
      <c r="C2" s="133" t="inlineStr">
        <is>
          <t>シフト表</t>
        </is>
      </c>
      <c r="D2" s="370">
        <f>入力フォーム!G2</f>
        <v/>
      </c>
      <c r="H2" s="134" t="inlineStr">
        <is>
          <t>〜</t>
        </is>
      </c>
      <c r="I2" s="448">
        <f>EOMONTH(D2,0)</f>
        <v/>
      </c>
      <c r="M2" s="134" t="n"/>
      <c r="N2" s="135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4" t="n"/>
      <c r="AA2" s="134" t="n"/>
      <c r="AB2" s="134" t="n"/>
      <c r="AC2" s="134" t="n"/>
      <c r="AD2" s="134" t="n"/>
      <c r="AE2" s="134" t="n"/>
      <c r="AF2" s="134" t="n"/>
      <c r="AG2" s="134" t="n"/>
      <c r="AH2" s="134" t="n"/>
      <c r="AK2" s="179" t="n"/>
      <c r="AL2" s="179" t="n"/>
      <c r="AP2" s="180" t="n"/>
    </row>
    <row r="3" ht="28" customHeight="1" s="447" thickBot="1">
      <c r="C3" s="446" t="n"/>
      <c r="D3" s="138" t="n"/>
      <c r="E3" s="139" t="n"/>
      <c r="G3" s="139" t="n"/>
      <c r="H3" s="139" t="n"/>
      <c r="I3" s="139" t="n"/>
      <c r="J3" s="139" t="n"/>
      <c r="K3" s="140" t="n"/>
      <c r="L3" s="141" t="n"/>
      <c r="M3" s="142" t="n"/>
      <c r="N3" s="143" t="n"/>
      <c r="O3" s="143" t="n"/>
      <c r="P3" s="143" t="n"/>
      <c r="Q3" s="143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396" t="n"/>
      <c r="AA3" s="346" t="inlineStr">
        <is>
          <t>はあとふる</t>
        </is>
      </c>
      <c r="AB3" s="449" t="n"/>
      <c r="AC3" s="449" t="n"/>
      <c r="AD3" s="449" t="n"/>
      <c r="AE3" s="449" t="n"/>
      <c r="AF3" s="449" t="n"/>
      <c r="AG3" s="449" t="n"/>
      <c r="AH3" s="449" t="n"/>
      <c r="AX3" s="182">
        <f>MONTH(D2)</f>
        <v/>
      </c>
    </row>
    <row r="4" ht="27.75" customHeight="1" s="447">
      <c r="A4" s="183" t="n"/>
      <c r="B4" s="450" t="n"/>
      <c r="C4" s="451" t="n"/>
      <c r="D4" s="455">
        <f>D2</f>
        <v/>
      </c>
      <c r="E4" s="452">
        <f>D4+1</f>
        <v/>
      </c>
      <c r="F4" s="452">
        <f>E4+1</f>
        <v/>
      </c>
      <c r="G4" s="452">
        <f>F4+1</f>
        <v/>
      </c>
      <c r="H4" s="452">
        <f>G4+1</f>
        <v/>
      </c>
      <c r="I4" s="452">
        <f>H4+1</f>
        <v/>
      </c>
      <c r="J4" s="452">
        <f>I4+1</f>
        <v/>
      </c>
      <c r="K4" s="452">
        <f>J4+1</f>
        <v/>
      </c>
      <c r="L4" s="452">
        <f>K4+1</f>
        <v/>
      </c>
      <c r="M4" s="452">
        <f>L4+1</f>
        <v/>
      </c>
      <c r="N4" s="452">
        <f>M4+1</f>
        <v/>
      </c>
      <c r="O4" s="452">
        <f>N4+1</f>
        <v/>
      </c>
      <c r="P4" s="452">
        <f>O4+1</f>
        <v/>
      </c>
      <c r="Q4" s="452">
        <f>P4+1</f>
        <v/>
      </c>
      <c r="R4" s="452">
        <f>Q4+1</f>
        <v/>
      </c>
      <c r="S4" s="452">
        <f>R4+1</f>
        <v/>
      </c>
      <c r="T4" s="452">
        <f>S4+1</f>
        <v/>
      </c>
      <c r="U4" s="452">
        <f>T4+1</f>
        <v/>
      </c>
      <c r="V4" s="452">
        <f>U4+1</f>
        <v/>
      </c>
      <c r="W4" s="452">
        <f>V4+1</f>
        <v/>
      </c>
      <c r="X4" s="453">
        <f>W4+1</f>
        <v/>
      </c>
      <c r="Y4" s="452">
        <f>X4+1</f>
        <v/>
      </c>
      <c r="Z4" s="452">
        <f>Y4+1</f>
        <v/>
      </c>
      <c r="AA4" s="452">
        <f>Z4+1</f>
        <v/>
      </c>
      <c r="AB4" s="453">
        <f>AA4+1</f>
        <v/>
      </c>
      <c r="AC4" s="456">
        <f>AB4+1</f>
        <v/>
      </c>
      <c r="AD4" s="452">
        <f>AC4+1</f>
        <v/>
      </c>
      <c r="AE4" s="452">
        <f>AD4+1</f>
        <v/>
      </c>
      <c r="AF4" s="457">
        <f>AE4+1</f>
        <v/>
      </c>
      <c r="AG4" s="453">
        <f>AF4+1</f>
        <v/>
      </c>
      <c r="AH4" s="454">
        <f>AG4+1</f>
        <v/>
      </c>
      <c r="AI4" s="184" t="n"/>
      <c r="AK4" s="185" t="n"/>
      <c r="AL4" s="185" t="n"/>
      <c r="AM4" s="185" t="n"/>
      <c r="AN4" s="185" t="n"/>
      <c r="AO4" s="185" t="n"/>
      <c r="AP4" s="185" t="n"/>
      <c r="AQ4" s="185" t="n"/>
      <c r="AU4" s="185" t="n"/>
      <c r="AV4" s="185" t="n"/>
      <c r="AW4" s="185" t="n"/>
    </row>
    <row r="5" ht="27.75" customHeight="1" s="447" thickBot="1">
      <c r="A5" s="186" t="n"/>
      <c r="B5" s="458" t="n"/>
      <c r="C5" s="459" t="n"/>
      <c r="D5" s="286">
        <f>TEXT(D4,"aaa")</f>
        <v/>
      </c>
      <c r="E5" s="145">
        <f>TEXT(E4,"aaa")</f>
        <v/>
      </c>
      <c r="F5" s="145">
        <f>TEXT(F4,"aaa")</f>
        <v/>
      </c>
      <c r="G5" s="148">
        <f>TEXT(G4,"aaa")</f>
        <v/>
      </c>
      <c r="H5" s="148">
        <f>TEXT(H4,"aaa")</f>
        <v/>
      </c>
      <c r="I5" s="148">
        <f>TEXT(I4,"aaa")</f>
        <v/>
      </c>
      <c r="J5" s="145">
        <f>TEXT(J4,"aaa")</f>
        <v/>
      </c>
      <c r="K5" s="145">
        <f>TEXT(K4,"aaa")</f>
        <v/>
      </c>
      <c r="L5" s="145">
        <f>TEXT(L4,"aaa")</f>
        <v/>
      </c>
      <c r="M5" s="145">
        <f>TEXT(M4,"aaa")</f>
        <v/>
      </c>
      <c r="N5" s="147">
        <f>TEXT(N4,"aaa")</f>
        <v/>
      </c>
      <c r="O5" s="147">
        <f>TEXT(O4,"aaa")</f>
        <v/>
      </c>
      <c r="P5" s="145">
        <f>TEXT(P4,"aaa")</f>
        <v/>
      </c>
      <c r="Q5" s="145">
        <f>TEXT(Q4,"aaa")</f>
        <v/>
      </c>
      <c r="R5" s="147">
        <f>TEXT(R4,"aaa")</f>
        <v/>
      </c>
      <c r="S5" s="145">
        <f>TEXT(S4,"aaa")</f>
        <v/>
      </c>
      <c r="T5" s="145">
        <f>TEXT(T4,"aaa")</f>
        <v/>
      </c>
      <c r="U5" s="145">
        <f>TEXT(U4,"aaa")</f>
        <v/>
      </c>
      <c r="V5" s="145">
        <f>TEXT(V4,"aaa")</f>
        <v/>
      </c>
      <c r="W5" s="147">
        <f>TEXT(W4,"aaa")</f>
        <v/>
      </c>
      <c r="X5" s="145">
        <f>TEXT(X4,"aaa")</f>
        <v/>
      </c>
      <c r="Y5" s="145">
        <f>TEXT(Y4,"aaa")</f>
        <v/>
      </c>
      <c r="Z5" s="147">
        <f>TEXT(Z4,"aaa")</f>
        <v/>
      </c>
      <c r="AA5" s="145">
        <f>TEXT(AA4,"aaa")</f>
        <v/>
      </c>
      <c r="AB5" s="145">
        <f>TEXT(AB4,"aaa")</f>
        <v/>
      </c>
      <c r="AC5" s="145">
        <f>TEXT(AC4,"aaa")</f>
        <v/>
      </c>
      <c r="AD5" s="145">
        <f>TEXT(AD4,"aaa")</f>
        <v/>
      </c>
      <c r="AE5" s="149">
        <f>TEXT(AE4,"aaa")</f>
        <v/>
      </c>
      <c r="AF5" s="150">
        <f>TEXT(AF4,"aaa")</f>
        <v/>
      </c>
      <c r="AG5" s="147">
        <f>TEXT(AG4,"aaa")</f>
        <v/>
      </c>
      <c r="AH5" s="146">
        <f>TEXT(AH4,"aaa")</f>
        <v/>
      </c>
      <c r="AI5" s="188" t="n"/>
      <c r="AJ5" s="272" t="inlineStr">
        <is>
          <t>Ａ</t>
        </is>
      </c>
      <c r="AK5" s="190" t="inlineStr">
        <is>
          <t>Ｂ</t>
        </is>
      </c>
      <c r="AL5" s="190" t="inlineStr">
        <is>
          <t>Ｄ</t>
        </is>
      </c>
      <c r="AM5" s="191" t="inlineStr">
        <is>
          <t>C</t>
        </is>
      </c>
      <c r="AN5" s="192" t="inlineStr">
        <is>
          <t>夜</t>
        </is>
      </c>
      <c r="AO5" s="192" t="inlineStr">
        <is>
          <t>明</t>
        </is>
      </c>
      <c r="AP5" s="272" t="inlineStr">
        <is>
          <t>Ｅ</t>
        </is>
      </c>
      <c r="AQ5" s="193" t="inlineStr">
        <is>
          <t>他</t>
        </is>
      </c>
      <c r="AR5" s="273" t="inlineStr">
        <is>
          <t>調1</t>
        </is>
      </c>
      <c r="AS5" s="274" t="inlineStr">
        <is>
          <t>調2</t>
        </is>
      </c>
      <c r="AT5" s="275" t="inlineStr">
        <is>
          <t>有</t>
        </is>
      </c>
      <c r="AU5" s="197" t="inlineStr">
        <is>
          <t>休</t>
        </is>
      </c>
      <c r="AV5" s="198" t="inlineStr">
        <is>
          <t>出勤計</t>
        </is>
      </c>
      <c r="AW5" s="198" t="inlineStr">
        <is>
          <t>出勤上限</t>
        </is>
      </c>
      <c r="AX5" s="442" t="inlineStr">
        <is>
          <t>出勤日数
チェック</t>
        </is>
      </c>
    </row>
    <row r="6" ht="35.25" customHeight="1" s="447">
      <c r="A6" s="200" t="n"/>
      <c r="B6" s="151" t="inlineStr">
        <is>
          <t>管理者</t>
        </is>
      </c>
      <c r="C6" s="152" t="inlineStr">
        <is>
          <t>吉玉　薫</t>
        </is>
      </c>
      <c r="D6" s="302" t="n"/>
      <c r="E6" s="303" t="n"/>
      <c r="F6" s="303" t="n"/>
      <c r="G6" s="303" t="n"/>
      <c r="H6" s="303" t="n"/>
      <c r="I6" s="304" t="n"/>
      <c r="J6" s="303" t="n"/>
      <c r="K6" s="303" t="n"/>
      <c r="L6" s="303" t="n"/>
      <c r="M6" s="303" t="n"/>
      <c r="N6" s="304" t="n"/>
      <c r="O6" s="293" t="n"/>
      <c r="P6" s="303" t="n"/>
      <c r="Q6" s="303" t="n"/>
      <c r="R6" s="303" t="n"/>
      <c r="S6" s="303" t="n"/>
      <c r="T6" s="304" t="n"/>
      <c r="U6" s="303" t="n"/>
      <c r="V6" s="303" t="n"/>
      <c r="W6" s="304" t="n"/>
      <c r="X6" s="303" t="n"/>
      <c r="Y6" s="303" t="n"/>
      <c r="Z6" s="303" t="n"/>
      <c r="AA6" s="303" t="n"/>
      <c r="AB6" s="303" t="n"/>
      <c r="AC6" s="303" t="n"/>
      <c r="AD6" s="304" t="n"/>
      <c r="AE6" s="303" t="n"/>
      <c r="AF6" s="303" t="n"/>
      <c r="AG6" s="303" t="n"/>
      <c r="AH6" s="305" t="n"/>
      <c r="AI6" s="204" t="n"/>
      <c r="AJ6" s="206">
        <f>COUNTIF($D6:$AH6,"A")</f>
        <v/>
      </c>
      <c r="AK6" s="206">
        <f>COUNTIF($D6:$AH6,"B")</f>
        <v/>
      </c>
      <c r="AL6" s="206">
        <f>COUNTIF($D6:$AH6,"D")</f>
        <v/>
      </c>
      <c r="AM6" s="206">
        <f>COUNTIF($D6:$AH6,"C")</f>
        <v/>
      </c>
      <c r="AN6" s="206">
        <f>COUNTIF($D6:$AH6,"夜")</f>
        <v/>
      </c>
      <c r="AO6" s="206">
        <f>COUNTIF($D6:$AH6,"明")</f>
        <v/>
      </c>
      <c r="AP6" s="206">
        <f>+COUNTIF($D6:$AH6,"E")</f>
        <v/>
      </c>
      <c r="AQ6" s="206">
        <f>COUNTIF($D6:$AH6,"研")+COUNTIF($D6:$AH6,"健")</f>
        <v/>
      </c>
      <c r="AR6" s="206">
        <f>COUNTIF($D6:$AH6,"調1")</f>
        <v/>
      </c>
      <c r="AS6" s="206">
        <f>COUNTIF($D6:$AH6,"調2")</f>
        <v/>
      </c>
      <c r="AT6" s="206">
        <f>COUNTIF($D6:$AH6,"有")</f>
        <v/>
      </c>
      <c r="AU6" s="206">
        <f>COUNTIF($D6:$AH6,"休")+COUNTIF($D6:$AH6,"希")</f>
        <v/>
      </c>
      <c r="AV6" s="206">
        <f>SUM(AJ6:AT6)</f>
        <v/>
      </c>
      <c r="AW6" s="206" t="n"/>
      <c r="AX6" s="134">
        <f>IF($AX$3=2,IF(AU6=8,"OK","NG"),IF(AU6=9,"OK","NG"))</f>
        <v/>
      </c>
    </row>
    <row r="7" ht="35.25" customHeight="1" s="447">
      <c r="A7" s="200" t="n"/>
      <c r="B7" s="155" t="inlineStr">
        <is>
          <t>介護職員</t>
        </is>
      </c>
      <c r="C7" s="156" t="inlineStr">
        <is>
          <t>飯星　まゆみ</t>
        </is>
      </c>
      <c r="D7" s="291" t="n"/>
      <c r="E7" s="290" t="n"/>
      <c r="F7" s="291" t="n"/>
      <c r="G7" s="291" t="n"/>
      <c r="H7" s="291" t="n"/>
      <c r="I7" s="291" t="n"/>
      <c r="J7" s="306" t="n"/>
      <c r="K7" s="307" t="n"/>
      <c r="L7" s="307" t="n"/>
      <c r="M7" s="291" t="n"/>
      <c r="N7" s="291" t="n"/>
      <c r="O7" s="290" t="n"/>
      <c r="P7" s="291" t="n"/>
      <c r="Q7" s="307" t="n"/>
      <c r="R7" s="307" t="n"/>
      <c r="S7" s="307" t="n"/>
      <c r="T7" s="307" t="n"/>
      <c r="U7" s="291" t="n"/>
      <c r="V7" s="291" t="n"/>
      <c r="W7" s="292" t="n"/>
      <c r="X7" s="291" t="n"/>
      <c r="Y7" s="307" t="n"/>
      <c r="Z7" s="307" t="n"/>
      <c r="AA7" s="291" t="n"/>
      <c r="AB7" s="306" t="n"/>
      <c r="AC7" s="291" t="n"/>
      <c r="AD7" s="291" t="n"/>
      <c r="AE7" s="292" t="n"/>
      <c r="AF7" s="291" t="n"/>
      <c r="AG7" s="290" t="n"/>
      <c r="AH7" s="305" t="n"/>
      <c r="AI7" s="204" t="n"/>
      <c r="AJ7" s="206">
        <f>COUNTIF($D7:$AH7,"A")</f>
        <v/>
      </c>
      <c r="AK7" s="206">
        <f>COUNTIF($D7:$AH7,"B")</f>
        <v/>
      </c>
      <c r="AL7" s="206">
        <f>COUNTIF($D7:$AH7,"D")</f>
        <v/>
      </c>
      <c r="AM7" s="206">
        <f>COUNTIF($D7:$AH7,"C")</f>
        <v/>
      </c>
      <c r="AN7" s="206">
        <f>COUNTIF($D7:$AH7,"夜")</f>
        <v/>
      </c>
      <c r="AO7" s="206">
        <f>COUNTIF($D7:$AH7,"明")</f>
        <v/>
      </c>
      <c r="AP7" s="206">
        <f>+COUNTIF($D7:$AH7,"E")</f>
        <v/>
      </c>
      <c r="AQ7" s="206">
        <f>COUNTIF($D7:$AH7,"研")+COUNTIF($D7:$AH7,"健")</f>
        <v/>
      </c>
      <c r="AR7" s="206">
        <f>COUNTIF($D7:$AH7,"調1")</f>
        <v/>
      </c>
      <c r="AS7" s="206">
        <f>COUNTIF($D7:$AH7,"調2")</f>
        <v/>
      </c>
      <c r="AT7" s="206">
        <f>COUNTIF($D7:$AH7,"有")</f>
        <v/>
      </c>
      <c r="AU7" s="206">
        <f>COUNTIF($D7:$AH7,"休")+COUNTIF($D7:$AH7,"希")</f>
        <v/>
      </c>
      <c r="AV7" s="206">
        <f>SUM(AJ7:AT7)</f>
        <v/>
      </c>
      <c r="AW7" s="206" t="n"/>
      <c r="AX7" s="134">
        <f>IF($AX$3=2,IF(AU7=8,"OK","NG"),IF(AU7=9,"OK","NG"))</f>
        <v/>
      </c>
    </row>
    <row r="8" ht="35.25" customHeight="1" s="447">
      <c r="A8" s="200" t="n"/>
      <c r="B8" s="155" t="inlineStr">
        <is>
          <t>介護職員</t>
        </is>
      </c>
      <c r="C8" s="156" t="inlineStr">
        <is>
          <t>興梠　道子</t>
        </is>
      </c>
      <c r="D8" s="291" t="n"/>
      <c r="E8" s="291" t="n"/>
      <c r="F8" s="291" t="n"/>
      <c r="G8" s="291" t="n"/>
      <c r="H8" s="291" t="n"/>
      <c r="I8" s="291" t="n"/>
      <c r="J8" s="291" t="n"/>
      <c r="K8" s="291" t="n"/>
      <c r="L8" s="291" t="n"/>
      <c r="M8" s="291" t="n"/>
      <c r="N8" s="291" t="n"/>
      <c r="O8" s="291" t="n"/>
      <c r="P8" s="291" t="n"/>
      <c r="Q8" s="291" t="n"/>
      <c r="R8" s="291" t="n"/>
      <c r="S8" s="291" t="n"/>
      <c r="T8" s="291" t="n"/>
      <c r="U8" s="291" t="n"/>
      <c r="V8" s="291" t="n"/>
      <c r="W8" s="291" t="n"/>
      <c r="X8" s="291" t="n"/>
      <c r="Y8" s="291" t="n"/>
      <c r="Z8" s="291" t="n"/>
      <c r="AA8" s="291" t="n"/>
      <c r="AB8" s="291" t="n"/>
      <c r="AC8" s="291" t="n"/>
      <c r="AD8" s="291" t="n"/>
      <c r="AE8" s="291" t="n"/>
      <c r="AF8" s="291" t="n"/>
      <c r="AG8" s="291" t="n"/>
      <c r="AH8" s="305" t="n"/>
      <c r="AI8" s="204" t="n"/>
      <c r="AJ8" s="206">
        <f>COUNTIF($D8:$AH8,"A")</f>
        <v/>
      </c>
      <c r="AK8" s="206">
        <f>COUNTIF($D8:$AH8,"B")</f>
        <v/>
      </c>
      <c r="AL8" s="206">
        <f>COUNTIF($D8:$AH8,"D")</f>
        <v/>
      </c>
      <c r="AM8" s="206">
        <f>COUNTIF($D8:$AH8,"C")</f>
        <v/>
      </c>
      <c r="AN8" s="206">
        <f>COUNTIF($D8:$AH8,"夜")</f>
        <v/>
      </c>
      <c r="AO8" s="206">
        <f>COUNTIF($D8:$AH8,"明")</f>
        <v/>
      </c>
      <c r="AP8" s="206">
        <f>+COUNTIF($D8:$AH8,"E")</f>
        <v/>
      </c>
      <c r="AQ8" s="206">
        <f>COUNTIF($D8:$AH8,"研")+COUNTIF($D8:$AH8,"健")</f>
        <v/>
      </c>
      <c r="AR8" s="206">
        <f>COUNTIF($D8:$AH8,"調1")</f>
        <v/>
      </c>
      <c r="AS8" s="206">
        <f>COUNTIF($D8:$AH8,"調2")</f>
        <v/>
      </c>
      <c r="AT8" s="206">
        <f>COUNTIF($D8:$AH8,"有")</f>
        <v/>
      </c>
      <c r="AU8" s="206">
        <f>COUNTIF($D8:$AH8,"休")+COUNTIF($D8:$AH8,"希")</f>
        <v/>
      </c>
      <c r="AV8" s="206">
        <f>SUM(AJ8:AT8)</f>
        <v/>
      </c>
      <c r="AW8" s="206" t="n"/>
      <c r="AX8" s="134">
        <f>IF($AX$3=2,IF(AU8=8,"OK","NG"),IF(AU8=9,"OK","NG"))</f>
        <v/>
      </c>
    </row>
    <row r="9" ht="36" customHeight="1" s="447">
      <c r="A9" s="200" t="n"/>
      <c r="B9" s="155" t="inlineStr">
        <is>
          <t>介護職員</t>
        </is>
      </c>
      <c r="C9" s="156" t="inlineStr">
        <is>
          <t>小椋　富美</t>
        </is>
      </c>
      <c r="D9" s="289" t="n"/>
      <c r="E9" s="291" t="n"/>
      <c r="F9" s="291" t="n"/>
      <c r="G9" s="291" t="n"/>
      <c r="H9" s="292" t="n"/>
      <c r="I9" s="292" t="n"/>
      <c r="J9" s="291" t="n"/>
      <c r="K9" s="291" t="n"/>
      <c r="L9" s="291" t="n"/>
      <c r="M9" s="291" t="n"/>
      <c r="N9" s="290" t="n"/>
      <c r="O9" s="291" t="n"/>
      <c r="P9" s="290" t="n"/>
      <c r="Q9" s="290" t="n"/>
      <c r="R9" s="291" t="n"/>
      <c r="S9" s="291" t="n"/>
      <c r="T9" s="291" t="n"/>
      <c r="U9" s="291" t="n"/>
      <c r="V9" s="292" t="n"/>
      <c r="W9" s="292" t="n"/>
      <c r="X9" s="291" t="n"/>
      <c r="Y9" s="291" t="n"/>
      <c r="Z9" s="291" t="n"/>
      <c r="AA9" s="291" t="n"/>
      <c r="AB9" s="291" t="n"/>
      <c r="AC9" s="292" t="n"/>
      <c r="AD9" s="292" t="n"/>
      <c r="AE9" s="291" t="n"/>
      <c r="AF9" s="291" t="n"/>
      <c r="AG9" s="291" t="n"/>
      <c r="AH9" s="308" t="n"/>
      <c r="AI9" s="204" t="n"/>
      <c r="AJ9" s="206">
        <f>COUNTIF($D9:$AH9,"A")</f>
        <v/>
      </c>
      <c r="AK9" s="206">
        <f>COUNTIF($D9:$AH9,"B")</f>
        <v/>
      </c>
      <c r="AL9" s="206">
        <f>COUNTIF($D9:$AH9,"D")</f>
        <v/>
      </c>
      <c r="AM9" s="206">
        <f>COUNTIF($D9:$AH9,"C")</f>
        <v/>
      </c>
      <c r="AN9" s="206">
        <f>COUNTIF($D9:$AH9,"夜")</f>
        <v/>
      </c>
      <c r="AO9" s="206">
        <f>COUNTIF($D9:$AH9,"明")</f>
        <v/>
      </c>
      <c r="AP9" s="206">
        <f>+COUNTIF($D9:$AH9,"E")</f>
        <v/>
      </c>
      <c r="AQ9" s="206">
        <f>COUNTIF($D9:$AH9,"研")+COUNTIF($D9:$AH9,"健")</f>
        <v/>
      </c>
      <c r="AR9" s="206">
        <f>COUNTIF($D9:$AH9,"調1")</f>
        <v/>
      </c>
      <c r="AS9" s="206">
        <f>COUNTIF($D9:$AH9,"調2")</f>
        <v/>
      </c>
      <c r="AT9" s="206">
        <f>COUNTIF($D9:$AH9,"有")</f>
        <v/>
      </c>
      <c r="AU9" s="206">
        <f>COUNTIF($D9:$AH9,"休")+COUNTIF($D9:$AH9,"希")</f>
        <v/>
      </c>
      <c r="AV9" s="206">
        <f>SUM(AJ9:AT9)</f>
        <v/>
      </c>
      <c r="AW9" s="206" t="n"/>
      <c r="AX9" s="134">
        <f>IF($AX$3=2,IF(AU9=8,"OK","NG"),IF(AU9=9,"OK","NG"))</f>
        <v/>
      </c>
    </row>
    <row r="10" ht="36" customHeight="1" s="447">
      <c r="A10" s="200" t="n"/>
      <c r="B10" s="155" t="inlineStr">
        <is>
          <t>介護職員</t>
        </is>
      </c>
      <c r="C10" s="163" t="inlineStr">
        <is>
          <t>佐藤　いそみ</t>
        </is>
      </c>
      <c r="D10" s="309" t="n"/>
      <c r="E10" s="292" t="n"/>
      <c r="F10" s="307" t="n"/>
      <c r="G10" s="307" t="n"/>
      <c r="H10" s="291" t="n"/>
      <c r="I10" s="307" t="n"/>
      <c r="J10" s="307" t="n"/>
      <c r="K10" s="292" t="n"/>
      <c r="L10" s="292" t="n"/>
      <c r="M10" s="307" t="n"/>
      <c r="N10" s="307" t="n"/>
      <c r="O10" s="307" t="n"/>
      <c r="P10" s="307" t="n"/>
      <c r="Q10" s="292" t="n"/>
      <c r="R10" s="292" t="n"/>
      <c r="S10" s="292" t="n"/>
      <c r="T10" s="307" t="n"/>
      <c r="U10" s="307" t="n"/>
      <c r="V10" s="291" t="n"/>
      <c r="W10" s="291" t="n"/>
      <c r="X10" s="292" t="n"/>
      <c r="Y10" s="292" t="n"/>
      <c r="Z10" s="292" t="n"/>
      <c r="AA10" s="307" t="n"/>
      <c r="AB10" s="307" t="n"/>
      <c r="AC10" s="291" t="n"/>
      <c r="AD10" s="307" t="n"/>
      <c r="AE10" s="307" t="n"/>
      <c r="AF10" s="292" t="n"/>
      <c r="AG10" s="292" t="n"/>
      <c r="AH10" s="305" t="n"/>
      <c r="AI10" s="204" t="n"/>
      <c r="AJ10" s="206">
        <f>COUNTIF($D10:$AH10,"A")</f>
        <v/>
      </c>
      <c r="AK10" s="206">
        <f>COUNTIF($D10:$AH10,"B")</f>
        <v/>
      </c>
      <c r="AL10" s="206">
        <f>COUNTIF($D10:$AH10,"D")</f>
        <v/>
      </c>
      <c r="AM10" s="206">
        <f>COUNTIF($D10:$AH10,"C")</f>
        <v/>
      </c>
      <c r="AN10" s="206">
        <f>COUNTIF($D10:$AH10,"夜")</f>
        <v/>
      </c>
      <c r="AO10" s="206">
        <f>COUNTIF($D10:$AH10,"明")</f>
        <v/>
      </c>
      <c r="AP10" s="206">
        <f>+COUNTIF($D10:$AH10,"E")</f>
        <v/>
      </c>
      <c r="AQ10" s="206">
        <f>COUNTIF($D10:$AH10,"研")+COUNTIF($D10:$AH10,"健")</f>
        <v/>
      </c>
      <c r="AR10" s="206">
        <f>COUNTIF($D10:$AH10,"調1")</f>
        <v/>
      </c>
      <c r="AS10" s="206">
        <f>COUNTIF($D10:$AH10,"調2")</f>
        <v/>
      </c>
      <c r="AT10" s="206">
        <f>COUNTIF($D10:$AH10,"有")</f>
        <v/>
      </c>
      <c r="AU10" s="206">
        <f>COUNTIF($D10:$AH10,"休")+COUNTIF($D10:$AH10,"希")</f>
        <v/>
      </c>
      <c r="AV10" s="206">
        <f>SUM(AJ10:AT10)</f>
        <v/>
      </c>
      <c r="AW10" s="206" t="n">
        <v>14</v>
      </c>
      <c r="AX10" s="134">
        <f>IF(AV10&lt;=AW10,"OK","NG")</f>
        <v/>
      </c>
    </row>
    <row r="11" ht="36" customHeight="1" s="447">
      <c r="A11" s="200" t="n"/>
      <c r="B11" s="155" t="inlineStr">
        <is>
          <t>介護職員</t>
        </is>
      </c>
      <c r="C11" s="163" t="inlineStr">
        <is>
          <t>松本　きくみ</t>
        </is>
      </c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1" t="n"/>
      <c r="P11" s="291" t="n"/>
      <c r="Q11" s="291" t="n"/>
      <c r="R11" s="291" t="n"/>
      <c r="S11" s="291" t="n"/>
      <c r="T11" s="291" t="n"/>
      <c r="U11" s="291" t="n"/>
      <c r="V11" s="291" t="n"/>
      <c r="W11" s="291" t="n"/>
      <c r="X11" s="291" t="n"/>
      <c r="Y11" s="291" t="n"/>
      <c r="Z11" s="291" t="n"/>
      <c r="AA11" s="291" t="n"/>
      <c r="AB11" s="291" t="n"/>
      <c r="AC11" s="291" t="n"/>
      <c r="AD11" s="291" t="n"/>
      <c r="AE11" s="291" t="n"/>
      <c r="AF11" s="291" t="n"/>
      <c r="AG11" s="291" t="n"/>
      <c r="AH11" s="310" t="n"/>
      <c r="AI11" s="204" t="n"/>
      <c r="AJ11" s="206">
        <f>COUNTIF($D11:$AH11,"A")</f>
        <v/>
      </c>
      <c r="AK11" s="206">
        <f>COUNTIF($D11:$AH11,"B")</f>
        <v/>
      </c>
      <c r="AL11" s="206">
        <f>COUNTIF($D11:$AH11,"D")</f>
        <v/>
      </c>
      <c r="AM11" s="206">
        <f>COUNTIF($D11:$AH11,"C")</f>
        <v/>
      </c>
      <c r="AN11" s="206">
        <f>COUNTIF($D11:$AH11,"夜")</f>
        <v/>
      </c>
      <c r="AO11" s="206">
        <f>COUNTIF($D11:$AH11,"明")</f>
        <v/>
      </c>
      <c r="AP11" s="206">
        <f>+COUNTIF($D11:$AH11,"E")</f>
        <v/>
      </c>
      <c r="AQ11" s="206">
        <f>COUNTIF($D11:$AH11,"研")+COUNTIF($D11:$AH11,"健")</f>
        <v/>
      </c>
      <c r="AR11" s="206">
        <f>COUNTIF($D11:$AH11,"調1")</f>
        <v/>
      </c>
      <c r="AS11" s="206">
        <f>COUNTIF($D11:$AH11,"調2")</f>
        <v/>
      </c>
      <c r="AT11" s="206">
        <f>COUNTIF($D11:$AH11,"有")</f>
        <v/>
      </c>
      <c r="AU11" s="206">
        <f>COUNTIF($D11:$AH11,"休")+COUNTIF($D11:$AH11,"希")</f>
        <v/>
      </c>
      <c r="AV11" s="206">
        <f>SUM(AJ11:AT11)</f>
        <v/>
      </c>
      <c r="AW11" s="206" t="n">
        <v>15</v>
      </c>
      <c r="AX11" s="134">
        <f>IF(AV11&lt;=AW11,"OK","NG")</f>
        <v/>
      </c>
    </row>
    <row r="12" ht="35.25" customHeight="1" s="447">
      <c r="A12" s="200" t="n"/>
      <c r="B12" s="155" t="inlineStr">
        <is>
          <t>介護職員</t>
        </is>
      </c>
      <c r="C12" s="156" t="inlineStr">
        <is>
          <t>甲斐　裕美子</t>
        </is>
      </c>
      <c r="D12" s="291" t="n"/>
      <c r="E12" s="290" t="n"/>
      <c r="F12" s="290" t="n"/>
      <c r="G12" s="291" t="n"/>
      <c r="H12" s="291" t="n"/>
      <c r="I12" s="290" t="n"/>
      <c r="J12" s="291" t="n"/>
      <c r="K12" s="290" t="n"/>
      <c r="L12" s="291" t="n"/>
      <c r="M12" s="290" t="n"/>
      <c r="N12" s="291" t="n"/>
      <c r="O12" s="306" t="n"/>
      <c r="P12" s="291" t="n"/>
      <c r="Q12" s="291" t="n"/>
      <c r="R12" s="290" t="n"/>
      <c r="S12" s="291" t="n"/>
      <c r="T12" s="291" t="n"/>
      <c r="U12" s="306" t="n"/>
      <c r="V12" s="306" t="n"/>
      <c r="W12" s="291" t="n"/>
      <c r="X12" s="306" t="n"/>
      <c r="Y12" s="291" t="n"/>
      <c r="Z12" s="290" t="n"/>
      <c r="AA12" s="291" t="n"/>
      <c r="AB12" s="291" t="n"/>
      <c r="AC12" s="291" t="n"/>
      <c r="AD12" s="290" t="n"/>
      <c r="AE12" s="291" t="n"/>
      <c r="AF12" s="306" t="n"/>
      <c r="AG12" s="290" t="n"/>
      <c r="AH12" s="311" t="n"/>
      <c r="AI12" s="204" t="n"/>
      <c r="AJ12" s="206">
        <f>COUNTIF($D12:$AH12,"A")</f>
        <v/>
      </c>
      <c r="AK12" s="206">
        <f>COUNTIF($D12:$AH12,"B")</f>
        <v/>
      </c>
      <c r="AL12" s="206">
        <f>COUNTIF($D12:$AH12,"D")</f>
        <v/>
      </c>
      <c r="AM12" s="206">
        <f>COUNTIF($D12:$AH12,"C")</f>
        <v/>
      </c>
      <c r="AN12" s="206">
        <f>COUNTIF($D12:$AH12,"夜")</f>
        <v/>
      </c>
      <c r="AO12" s="206">
        <f>COUNTIF($D12:$AH12,"明")</f>
        <v/>
      </c>
      <c r="AP12" s="206">
        <f>+COUNTIF($D12:$AH12,"E")</f>
        <v/>
      </c>
      <c r="AQ12" s="206">
        <f>COUNTIF($D12:$AH12,"研")+COUNTIF($D12:$AH12,"健")</f>
        <v/>
      </c>
      <c r="AR12" s="206">
        <f>COUNTIF($D12:$AH12,"調1")</f>
        <v/>
      </c>
      <c r="AS12" s="206">
        <f>COUNTIF($D12:$AH12,"調2")</f>
        <v/>
      </c>
      <c r="AT12" s="206">
        <f>COUNTIF($D12:$AH12,"有")</f>
        <v/>
      </c>
      <c r="AU12" s="206">
        <f>COUNTIF($D12:$AH12,"休")+COUNTIF($D12:$AH12,"希")</f>
        <v/>
      </c>
      <c r="AV12" s="206">
        <f>SUM(AJ12:AT12)</f>
        <v/>
      </c>
      <c r="AW12" s="206" t="n">
        <v>15</v>
      </c>
      <c r="AX12" s="134">
        <f>IF(AV12&lt;=AW12,"OK","NG")</f>
        <v/>
      </c>
    </row>
    <row r="13" ht="35.25" customHeight="1" s="447">
      <c r="A13" s="200" t="n"/>
      <c r="B13" s="155" t="inlineStr">
        <is>
          <t>介護職員</t>
        </is>
      </c>
      <c r="C13" s="163" t="inlineStr">
        <is>
          <t>辰見　イツ子</t>
        </is>
      </c>
      <c r="D13" s="309" t="n"/>
      <c r="E13" s="291" t="n"/>
      <c r="F13" s="291" t="n"/>
      <c r="G13" s="291" t="n"/>
      <c r="H13" s="306" t="n"/>
      <c r="I13" s="306" t="n"/>
      <c r="J13" s="292" t="n"/>
      <c r="K13" s="291" t="n"/>
      <c r="L13" s="306" t="n"/>
      <c r="M13" s="290" t="n"/>
      <c r="N13" s="290" t="n"/>
      <c r="O13" s="291" t="n"/>
      <c r="P13" s="292" t="n"/>
      <c r="Q13" s="292" t="n"/>
      <c r="R13" s="292" t="n"/>
      <c r="S13" s="291" t="n"/>
      <c r="T13" s="291" t="n"/>
      <c r="U13" s="290" t="n"/>
      <c r="V13" s="290" t="n"/>
      <c r="W13" s="306" t="n"/>
      <c r="X13" s="292" t="n"/>
      <c r="Y13" s="291" t="n"/>
      <c r="Z13" s="291" t="n"/>
      <c r="AA13" s="290" t="n"/>
      <c r="AB13" s="291" t="n"/>
      <c r="AC13" s="306" t="n"/>
      <c r="AD13" s="291" t="n"/>
      <c r="AE13" s="292" t="n"/>
      <c r="AF13" s="291" t="n"/>
      <c r="AG13" s="291" t="n"/>
      <c r="AH13" s="308" t="n"/>
      <c r="AI13" s="204" t="n"/>
      <c r="AJ13" s="206">
        <f>COUNTIF($D13:$AH13,"A")</f>
        <v/>
      </c>
      <c r="AK13" s="206">
        <f>COUNTIF($D13:$AH13,"B")</f>
        <v/>
      </c>
      <c r="AL13" s="206">
        <f>COUNTIF($D13:$AH13,"D")</f>
        <v/>
      </c>
      <c r="AM13" s="206">
        <f>COUNTIF($D13:$AH13,"C")</f>
        <v/>
      </c>
      <c r="AN13" s="206">
        <f>COUNTIF($D13:$AH13,"夜")</f>
        <v/>
      </c>
      <c r="AO13" s="206">
        <f>COUNTIF($D13:$AH13,"明")</f>
        <v/>
      </c>
      <c r="AP13" s="206">
        <f>+COUNTIF($D13:$AH13,"E")</f>
        <v/>
      </c>
      <c r="AQ13" s="206">
        <f>COUNTIF($D13:$AH13,"研")+COUNTIF($D13:$AH13,"健")</f>
        <v/>
      </c>
      <c r="AR13" s="206">
        <f>COUNTIF($D13:$AH13,"調1")</f>
        <v/>
      </c>
      <c r="AS13" s="206">
        <f>COUNTIF($D13:$AH13,"調2")</f>
        <v/>
      </c>
      <c r="AT13" s="206">
        <f>COUNTIF($D13:$AH13,"有")</f>
        <v/>
      </c>
      <c r="AU13" s="206">
        <f>COUNTIF($D13:$AH13,"休")+COUNTIF($D13:$AH13,"希")</f>
        <v/>
      </c>
      <c r="AV13" s="206">
        <f>SUM(AJ13:AT13)</f>
        <v/>
      </c>
      <c r="AW13" s="206" t="n">
        <v>15</v>
      </c>
      <c r="AX13" s="134">
        <f>IF(AV13&lt;=AW13,"OK","NG")</f>
        <v/>
      </c>
    </row>
    <row r="14" ht="35.25" customHeight="1" s="447">
      <c r="A14" s="200" t="n"/>
      <c r="B14" s="155" t="inlineStr">
        <is>
          <t>介護職員</t>
        </is>
      </c>
      <c r="C14" s="163" t="inlineStr">
        <is>
          <t>甲斐　静幸</t>
        </is>
      </c>
      <c r="D14" s="312" t="n"/>
      <c r="E14" s="291" t="n"/>
      <c r="F14" s="291" t="n"/>
      <c r="G14" s="290" t="n"/>
      <c r="H14" s="292" t="n"/>
      <c r="I14" s="292" t="n"/>
      <c r="J14" s="292" t="n"/>
      <c r="K14" s="291" t="n"/>
      <c r="L14" s="290" t="n"/>
      <c r="M14" s="290" t="n"/>
      <c r="N14" s="291" t="n"/>
      <c r="O14" s="292" t="n"/>
      <c r="P14" s="290" t="n"/>
      <c r="Q14" s="291" t="n"/>
      <c r="R14" s="291" t="n"/>
      <c r="S14" s="290" t="n"/>
      <c r="T14" s="290" t="n"/>
      <c r="U14" s="291" t="n"/>
      <c r="V14" s="292" t="n"/>
      <c r="W14" s="290" t="n"/>
      <c r="X14" s="291" t="n"/>
      <c r="Y14" s="290" t="n"/>
      <c r="Z14" s="291" t="n"/>
      <c r="AA14" s="291" t="n"/>
      <c r="AB14" s="292" t="n"/>
      <c r="AC14" s="292" t="n"/>
      <c r="AD14" s="291" t="n"/>
      <c r="AE14" s="291" t="n"/>
      <c r="AF14" s="290" t="n"/>
      <c r="AG14" s="291" t="n"/>
      <c r="AH14" s="308" t="n"/>
      <c r="AI14" s="204" t="n"/>
      <c r="AJ14" s="206">
        <f>COUNTIF($D14:$AH14,"A")</f>
        <v/>
      </c>
      <c r="AK14" s="206">
        <f>COUNTIF($D14:$AH14,"B")</f>
        <v/>
      </c>
      <c r="AL14" s="206">
        <f>COUNTIF($D14:$AH14,"D")</f>
        <v/>
      </c>
      <c r="AM14" s="206">
        <f>COUNTIF($D14:$AH14,"C")</f>
        <v/>
      </c>
      <c r="AN14" s="206">
        <f>COUNTIF($D14:$AH14,"夜")</f>
        <v/>
      </c>
      <c r="AO14" s="206">
        <f>COUNTIF($D14:$AH14,"明")</f>
        <v/>
      </c>
      <c r="AP14" s="206">
        <f>+COUNTIF($D14:$AH14,"E")</f>
        <v/>
      </c>
      <c r="AQ14" s="206">
        <f>COUNTIF($D14:$AH14,"研")+COUNTIF($D14:$AH14,"健")</f>
        <v/>
      </c>
      <c r="AR14" s="206">
        <f>COUNTIF($D14:$AH14,"調1")</f>
        <v/>
      </c>
      <c r="AS14" s="206">
        <f>COUNTIF($D14:$AH14,"調2")</f>
        <v/>
      </c>
      <c r="AT14" s="206">
        <f>COUNTIF($D14:$AH14,"有")</f>
        <v/>
      </c>
      <c r="AU14" s="206">
        <f>COUNTIF($D14:$AH14,"休")+COUNTIF($D14:$AH14,"希")</f>
        <v/>
      </c>
      <c r="AV14" s="206">
        <f>SUM(AJ14:AT14)</f>
        <v/>
      </c>
      <c r="AW14" s="206" t="n">
        <v>15</v>
      </c>
      <c r="AX14" s="134">
        <f>IF(AV14&lt;=AW14,"OK","NG")</f>
        <v/>
      </c>
    </row>
    <row r="15" ht="35.25" customHeight="1" s="447">
      <c r="A15" s="200" t="n"/>
      <c r="B15" s="155" t="inlineStr">
        <is>
          <t>計画作成担当者</t>
        </is>
      </c>
      <c r="C15" s="156" t="inlineStr">
        <is>
          <t>渡邊　哲也</t>
        </is>
      </c>
      <c r="D15" s="313" t="n"/>
      <c r="E15" s="307" t="n"/>
      <c r="F15" s="291" t="n"/>
      <c r="G15" s="290" t="n"/>
      <c r="H15" s="290" t="n"/>
      <c r="I15" s="291" t="n"/>
      <c r="J15" s="291" t="n"/>
      <c r="K15" s="290" t="n"/>
      <c r="L15" s="291" t="n"/>
      <c r="M15" s="291" t="n"/>
      <c r="N15" s="307" t="n"/>
      <c r="O15" s="307" t="n"/>
      <c r="P15" s="291" t="n"/>
      <c r="Q15" s="290" t="n"/>
      <c r="R15" s="290" t="n"/>
      <c r="S15" s="291" t="n"/>
      <c r="T15" s="290" t="n"/>
      <c r="U15" s="290" t="n"/>
      <c r="V15" s="291" t="n"/>
      <c r="W15" s="307" t="n"/>
      <c r="X15" s="307" t="n"/>
      <c r="Y15" s="290" t="n"/>
      <c r="Z15" s="290" t="n"/>
      <c r="AA15" s="290" t="n"/>
      <c r="AB15" s="291" t="n"/>
      <c r="AC15" s="290" t="n"/>
      <c r="AD15" s="291" t="n"/>
      <c r="AE15" s="292" t="n"/>
      <c r="AF15" s="307" t="n"/>
      <c r="AG15" s="307" t="n"/>
      <c r="AH15" s="311" t="n"/>
      <c r="AI15" s="204" t="n"/>
      <c r="AJ15" s="206">
        <f>COUNTIF($D15:$AH15,"A")</f>
        <v/>
      </c>
      <c r="AK15" s="206">
        <f>COUNTIF($D15:$AH15,"B")</f>
        <v/>
      </c>
      <c r="AL15" s="206">
        <f>COUNTIF($D15:$AH15,"D")</f>
        <v/>
      </c>
      <c r="AM15" s="206">
        <f>COUNTIF($D15:$AH15,"C")</f>
        <v/>
      </c>
      <c r="AN15" s="206">
        <f>COUNTIF($D15:$AH15,"夜")</f>
        <v/>
      </c>
      <c r="AO15" s="206">
        <f>COUNTIF($D15:$AH15,"明")</f>
        <v/>
      </c>
      <c r="AP15" s="206">
        <f>+COUNTIF($D15:$AH15,"E")</f>
        <v/>
      </c>
      <c r="AQ15" s="206">
        <f>COUNTIF($D15:$AH15,"研")+COUNTIF($D15:$AH15,"健")</f>
        <v/>
      </c>
      <c r="AR15" s="206">
        <f>COUNTIF($D15:$AH15,"調1")</f>
        <v/>
      </c>
      <c r="AS15" s="206">
        <f>COUNTIF($D15:$AH15,"調2")</f>
        <v/>
      </c>
      <c r="AT15" s="206">
        <f>COUNTIF($D15:$AH15,"有")</f>
        <v/>
      </c>
      <c r="AU15" s="206">
        <f>COUNTIF($D15:$AH15,"休")+COUNTIF($D15:$AH15,"希")</f>
        <v/>
      </c>
      <c r="AV15" s="206">
        <f>SUM(AJ15:AT15)</f>
        <v/>
      </c>
      <c r="AW15" s="206" t="n"/>
      <c r="AX15" s="134">
        <f>IF($AX$3=2,IF(AU15=8,"OK","NG"),IF(AU15=9,"OK","NG"))</f>
        <v/>
      </c>
    </row>
    <row r="16" ht="35.25" customHeight="1" s="447">
      <c r="A16" s="200" t="n"/>
      <c r="B16" s="155" t="inlineStr">
        <is>
          <t>機能訓練指導員</t>
        </is>
      </c>
      <c r="C16" s="163" t="inlineStr">
        <is>
          <t>甲斐　充代</t>
        </is>
      </c>
      <c r="D16" s="289" t="n"/>
      <c r="E16" s="290" t="n"/>
      <c r="F16" s="291" t="n"/>
      <c r="G16" s="291" t="n"/>
      <c r="H16" s="291" t="n"/>
      <c r="I16" s="291" t="n"/>
      <c r="J16" s="291" t="n"/>
      <c r="K16" s="291" t="n"/>
      <c r="L16" s="291" t="n"/>
      <c r="M16" s="290" t="n"/>
      <c r="N16" s="290" t="n"/>
      <c r="O16" s="291" t="n"/>
      <c r="P16" s="291" t="n"/>
      <c r="Q16" s="292" t="n"/>
      <c r="R16" s="291" t="n"/>
      <c r="S16" s="290" t="n"/>
      <c r="T16" s="291" t="n"/>
      <c r="U16" s="291" t="n"/>
      <c r="V16" s="291" t="n"/>
      <c r="W16" s="291" t="n"/>
      <c r="X16" s="291" t="n"/>
      <c r="Y16" s="292" t="n"/>
      <c r="Z16" s="292" t="n"/>
      <c r="AA16" s="291" t="n"/>
      <c r="AB16" s="291" t="n"/>
      <c r="AC16" s="291" t="n"/>
      <c r="AD16" s="291" t="n"/>
      <c r="AE16" s="290" t="n"/>
      <c r="AF16" s="291" t="n"/>
      <c r="AG16" s="291" t="n"/>
      <c r="AH16" s="311" t="n"/>
      <c r="AI16" s="204" t="n"/>
      <c r="AJ16" s="206">
        <f>COUNTIF($D16:$AH16,"A")</f>
        <v/>
      </c>
      <c r="AK16" s="206">
        <f>COUNTIF($D16:$AH16,"B")</f>
        <v/>
      </c>
      <c r="AL16" s="206">
        <f>COUNTIF($D16:$AH16,"D")</f>
        <v/>
      </c>
      <c r="AM16" s="206">
        <f>COUNTIF($D16:$AH16,"C")</f>
        <v/>
      </c>
      <c r="AN16" s="206">
        <f>COUNTIF($D16:$AH16,"夜")</f>
        <v/>
      </c>
      <c r="AO16" s="206">
        <f>COUNTIF($D16:$AH16,"明")</f>
        <v/>
      </c>
      <c r="AP16" s="206">
        <f>+COUNTIF($D16:$AH16,"E")</f>
        <v/>
      </c>
      <c r="AQ16" s="206">
        <f>COUNTIF($D16:$AH16,"研")+COUNTIF($D16:$AH16,"健")</f>
        <v/>
      </c>
      <c r="AR16" s="206">
        <f>COUNTIF($D16:$AH16,"調1")</f>
        <v/>
      </c>
      <c r="AS16" s="206">
        <f>COUNTIF($D16:$AH16,"調2")</f>
        <v/>
      </c>
      <c r="AT16" s="206">
        <f>COUNTIF($D16:$AH16,"有")</f>
        <v/>
      </c>
      <c r="AU16" s="206">
        <f>COUNTIF($D16:$AH16,"休")+COUNTIF($D16:$AH16,"希")</f>
        <v/>
      </c>
      <c r="AV16" s="206">
        <f>SUM(AJ16:AT16)</f>
        <v/>
      </c>
      <c r="AW16" s="206" t="n"/>
      <c r="AX16" s="134">
        <f>IF($AX$3=2,IF(AU16=8,"OK","NG"),IF(AU16=9,"OK","NG"))</f>
        <v/>
      </c>
    </row>
    <row r="17" ht="35.25" customHeight="1" s="447">
      <c r="A17" s="200" t="n"/>
      <c r="B17" s="155" t="inlineStr">
        <is>
          <t>生活相談員</t>
        </is>
      </c>
      <c r="C17" s="163" t="inlineStr">
        <is>
          <t>田上　元美</t>
        </is>
      </c>
      <c r="D17" s="290" t="n"/>
      <c r="E17" s="291" t="n"/>
      <c r="F17" s="290" t="n"/>
      <c r="G17" s="292" t="n"/>
      <c r="H17" s="291" t="n"/>
      <c r="I17" s="292" t="n"/>
      <c r="J17" s="292" t="n"/>
      <c r="K17" s="291" t="n"/>
      <c r="L17" s="292" t="n"/>
      <c r="M17" s="291" t="n"/>
      <c r="N17" s="291" t="n"/>
      <c r="O17" s="291" t="n"/>
      <c r="P17" s="290" t="n"/>
      <c r="Q17" s="291" t="n"/>
      <c r="R17" s="291" t="n"/>
      <c r="S17" s="291" t="n"/>
      <c r="T17" s="292" t="n"/>
      <c r="U17" s="291" t="n"/>
      <c r="V17" s="291" t="n"/>
      <c r="W17" s="291" t="n"/>
      <c r="X17" s="292" t="n"/>
      <c r="Y17" s="291" t="n"/>
      <c r="Z17" s="291" t="n"/>
      <c r="AA17" s="292" t="n"/>
      <c r="AB17" s="291" t="n"/>
      <c r="AC17" s="291" t="n"/>
      <c r="AD17" s="290" t="n"/>
      <c r="AE17" s="291" t="n"/>
      <c r="AF17" s="292" t="n"/>
      <c r="AG17" s="291" t="n"/>
      <c r="AH17" s="305" t="n"/>
      <c r="AI17" s="204" t="n"/>
      <c r="AJ17" s="206">
        <f>COUNTIF($D17:$AH17,"A")</f>
        <v/>
      </c>
      <c r="AK17" s="206">
        <f>COUNTIF($D17:$AH17,"B")</f>
        <v/>
      </c>
      <c r="AL17" s="206">
        <f>COUNTIF($D17:$AH17,"D")</f>
        <v/>
      </c>
      <c r="AM17" s="206">
        <f>COUNTIF($D17:$AH17,"C")</f>
        <v/>
      </c>
      <c r="AN17" s="206">
        <f>COUNTIF($D17:$AH17,"夜")</f>
        <v/>
      </c>
      <c r="AO17" s="206">
        <f>COUNTIF($D17:$AH17,"明")</f>
        <v/>
      </c>
      <c r="AP17" s="206">
        <f>+COUNTIF($D17:$AH17,"E")</f>
        <v/>
      </c>
      <c r="AQ17" s="206">
        <f>COUNTIF($D17:$AH17,"研")+COUNTIF($D17:$AH17,"健")</f>
        <v/>
      </c>
      <c r="AR17" s="206">
        <f>COUNTIF($D17:$AH17,"調1")</f>
        <v/>
      </c>
      <c r="AS17" s="206">
        <f>COUNTIF($D17:$AH17,"調2")</f>
        <v/>
      </c>
      <c r="AT17" s="206">
        <f>COUNTIF($D17:$AH17,"有")</f>
        <v/>
      </c>
      <c r="AU17" s="206">
        <f>COUNTIF($D17:$AH17,"休")+COUNTIF($D17:$AH17,"希")</f>
        <v/>
      </c>
      <c r="AV17" s="206">
        <f>SUM(AJ17:AT17)</f>
        <v/>
      </c>
      <c r="AW17" s="206" t="n"/>
      <c r="AX17" s="134">
        <f>IF($AX$3=2,IF(AU17=8,"OK","NG"),IF(AU17=9,"OK","NG"))</f>
        <v/>
      </c>
    </row>
    <row r="18" ht="35.25" customHeight="1" s="447">
      <c r="A18" s="200" t="n"/>
      <c r="B18" s="155" t="inlineStr">
        <is>
          <t>看護職員</t>
        </is>
      </c>
      <c r="C18" s="163" t="inlineStr">
        <is>
          <t>甲斐　千代美</t>
        </is>
      </c>
      <c r="D18" s="289" t="n"/>
      <c r="E18" s="291" t="n"/>
      <c r="F18" s="291" t="n"/>
      <c r="G18" s="291" t="n"/>
      <c r="H18" s="291" t="n"/>
      <c r="I18" s="291" t="n"/>
      <c r="J18" s="291" t="n"/>
      <c r="K18" s="291" t="n"/>
      <c r="L18" s="291" t="n"/>
      <c r="M18" s="291" t="n"/>
      <c r="N18" s="291" t="n"/>
      <c r="O18" s="291" t="n"/>
      <c r="P18" s="291" t="n"/>
      <c r="Q18" s="291" t="n"/>
      <c r="R18" s="291" t="n"/>
      <c r="S18" s="291" t="n"/>
      <c r="T18" s="291" t="n"/>
      <c r="U18" s="291" t="n"/>
      <c r="V18" s="291" t="n"/>
      <c r="W18" s="291" t="n"/>
      <c r="X18" s="291" t="n"/>
      <c r="Y18" s="291" t="n"/>
      <c r="Z18" s="291" t="n"/>
      <c r="AA18" s="291" t="n"/>
      <c r="AB18" s="291" t="n"/>
      <c r="AC18" s="291" t="n"/>
      <c r="AD18" s="291" t="n"/>
      <c r="AE18" s="291" t="n"/>
      <c r="AF18" s="291" t="n"/>
      <c r="AG18" s="291" t="n"/>
      <c r="AH18" s="305" t="n"/>
      <c r="AI18" s="204" t="n"/>
      <c r="AJ18" s="206">
        <f>COUNTIF($D18:$AH18,"A")</f>
        <v/>
      </c>
      <c r="AK18" s="206">
        <f>COUNTIF($D18:$AH18,"B")</f>
        <v/>
      </c>
      <c r="AL18" s="206">
        <f>COUNTIF($D18:$AH18,"D")</f>
        <v/>
      </c>
      <c r="AM18" s="206">
        <f>COUNTIF($D18:$AH18,"C")</f>
        <v/>
      </c>
      <c r="AN18" s="206">
        <f>COUNTIF($D18:$AH18,"夜")</f>
        <v/>
      </c>
      <c r="AO18" s="206">
        <f>COUNTIF($D18:$AH18,"明")</f>
        <v/>
      </c>
      <c r="AP18" s="206">
        <f>+COUNTIF($D18:$AH18,"E")</f>
        <v/>
      </c>
      <c r="AQ18" s="206">
        <f>COUNTIF($D18:$AH18,"研")+COUNTIF($D18:$AH18,"健")</f>
        <v/>
      </c>
      <c r="AR18" s="206">
        <f>COUNTIF($D18:$AH18,"調1")</f>
        <v/>
      </c>
      <c r="AS18" s="206">
        <f>COUNTIF($D18:$AH18,"調2")</f>
        <v/>
      </c>
      <c r="AT18" s="206">
        <f>COUNTIF($D18:$AH18,"有")</f>
        <v/>
      </c>
      <c r="AU18" s="206">
        <f>COUNTIF($D18:$AH18,"休")+COUNTIF($D18:$AH18,"希")</f>
        <v/>
      </c>
      <c r="AV18" s="206">
        <f>SUM(AJ18:AT18)</f>
        <v/>
      </c>
      <c r="AW18" s="206" t="n"/>
      <c r="AX18" s="134">
        <f>IF($AX$3=2,IF(AU18=8,"OK","NG"),IF(AU18=9,"OK","NG"))</f>
        <v/>
      </c>
    </row>
    <row r="19" ht="35.25" customHeight="1" s="447" thickBot="1">
      <c r="A19" s="200" t="n"/>
      <c r="B19" s="165" t="inlineStr">
        <is>
          <t>事務職員</t>
        </is>
      </c>
      <c r="C19" s="166" t="inlineStr">
        <is>
          <t>椎葉　玲子</t>
        </is>
      </c>
      <c r="D19" s="289" t="n"/>
      <c r="E19" s="291" t="n"/>
      <c r="F19" s="291" t="n"/>
      <c r="G19" s="292" t="n"/>
      <c r="H19" s="292" t="n"/>
      <c r="I19" s="291" t="n"/>
      <c r="J19" s="292" t="n"/>
      <c r="K19" s="291" t="n"/>
      <c r="L19" s="291" t="n"/>
      <c r="M19" s="291" t="n"/>
      <c r="N19" s="292" t="n"/>
      <c r="O19" s="292" t="n"/>
      <c r="P19" s="291" t="n"/>
      <c r="Q19" s="291" t="n"/>
      <c r="R19" s="291" t="n"/>
      <c r="S19" s="291" t="n"/>
      <c r="T19" s="291" t="n"/>
      <c r="U19" s="292" t="n"/>
      <c r="V19" s="292" t="n"/>
      <c r="W19" s="291" t="n"/>
      <c r="X19" s="291" t="n"/>
      <c r="Y19" s="291" t="n"/>
      <c r="Z19" s="291" t="n"/>
      <c r="AA19" s="291" t="n"/>
      <c r="AB19" s="292" t="n"/>
      <c r="AC19" s="292" t="n"/>
      <c r="AD19" s="291" t="n"/>
      <c r="AE19" s="290" t="n"/>
      <c r="AF19" s="292" t="n"/>
      <c r="AG19" s="291" t="n"/>
      <c r="AH19" s="305" t="n"/>
      <c r="AI19" s="204" t="n"/>
      <c r="AJ19" s="206">
        <f>COUNTIF($D19:$AH19,"A")</f>
        <v/>
      </c>
      <c r="AK19" s="206">
        <f>COUNTIF($D19:$AH19,"B")</f>
        <v/>
      </c>
      <c r="AL19" s="206">
        <f>COUNTIF($D19:$AH19,"D")</f>
        <v/>
      </c>
      <c r="AM19" s="206">
        <f>COUNTIF($D19:$AH19,"C")</f>
        <v/>
      </c>
      <c r="AN19" s="206">
        <f>COUNTIF($D19:$AH19,"夜")</f>
        <v/>
      </c>
      <c r="AO19" s="206">
        <f>COUNTIF($D19:$AH19,"明")</f>
        <v/>
      </c>
      <c r="AP19" s="206">
        <f>+COUNTIF($D19:$AH19,"E")</f>
        <v/>
      </c>
      <c r="AQ19" s="206">
        <f>COUNTIF($D19:$AH19,"研")+COUNTIF($D19:$AH19,"健")</f>
        <v/>
      </c>
      <c r="AR19" s="206">
        <f>COUNTIF($D19:$AH19,"調1")</f>
        <v/>
      </c>
      <c r="AS19" s="206">
        <f>COUNTIF($D19:$AH19,"調2")</f>
        <v/>
      </c>
      <c r="AT19" s="206">
        <f>COUNTIF($D19:$AH19,"有")</f>
        <v/>
      </c>
      <c r="AU19" s="206">
        <f>COUNTIF($D19:$AH19,"休")+COUNTIF($D19:$AH19,"希")</f>
        <v/>
      </c>
      <c r="AV19" s="206">
        <f>SUM(AJ19:AT19)</f>
        <v/>
      </c>
      <c r="AW19" s="206" t="n">
        <v>15</v>
      </c>
      <c r="AX19" s="134">
        <f>IF(AV19&lt;=AW19,"OK","NG")</f>
        <v/>
      </c>
    </row>
    <row r="20" ht="35.25" customHeight="1" s="447">
      <c r="A20" s="200" t="n"/>
      <c r="B20" s="151" t="inlineStr">
        <is>
          <t>調理職員</t>
        </is>
      </c>
      <c r="C20" s="152" t="inlineStr">
        <is>
          <t>堀  カズ子</t>
        </is>
      </c>
      <c r="D20" s="293" t="n"/>
      <c r="E20" s="294" t="n"/>
      <c r="F20" s="295" t="n"/>
      <c r="G20" s="294" t="n"/>
      <c r="H20" s="294" t="n"/>
      <c r="I20" s="294" t="n"/>
      <c r="J20" s="294" t="n"/>
      <c r="K20" s="294" t="n"/>
      <c r="L20" s="294" t="n"/>
      <c r="M20" s="295" t="n"/>
      <c r="N20" s="294" t="n"/>
      <c r="O20" s="296" t="n"/>
      <c r="P20" s="294" t="n"/>
      <c r="Q20" s="294" t="n"/>
      <c r="R20" s="294" t="n"/>
      <c r="S20" s="294" t="n"/>
      <c r="T20" s="295" t="n"/>
      <c r="U20" s="294" t="n"/>
      <c r="V20" s="294" t="n"/>
      <c r="W20" s="294" t="n"/>
      <c r="X20" s="294" t="n"/>
      <c r="Y20" s="294" t="n"/>
      <c r="Z20" s="294" t="n"/>
      <c r="AA20" s="295" t="n"/>
      <c r="AB20" s="294" t="n"/>
      <c r="AC20" s="294" t="n"/>
      <c r="AD20" s="294" t="n"/>
      <c r="AE20" s="294" t="n"/>
      <c r="AF20" s="294" t="n"/>
      <c r="AG20" s="294" t="n"/>
      <c r="AH20" s="314" t="n"/>
      <c r="AI20" s="226" t="n"/>
      <c r="AJ20" s="206" t="n"/>
      <c r="AK20" s="206">
        <f>COUNTIF($D20:$AH20,"B")</f>
        <v/>
      </c>
      <c r="AL20" s="206">
        <f>COUNTIF($D20:$AH20,"D")</f>
        <v/>
      </c>
      <c r="AM20" s="206" t="n"/>
      <c r="AN20" s="206" t="n"/>
      <c r="AO20" s="206" t="n"/>
      <c r="AP20" s="206">
        <f>+COUNTIF($D20:$AH20,"E")</f>
        <v/>
      </c>
      <c r="AQ20" s="206">
        <f>COUNTIF($D20:$AH20,"研")+COUNTIF($D20:$AH20,"健")</f>
        <v/>
      </c>
      <c r="AR20" s="206">
        <f>COUNTIF($D20:$AH20,"調1")</f>
        <v/>
      </c>
      <c r="AS20" s="206">
        <f>COUNTIF($D20:$AH20,"調2")</f>
        <v/>
      </c>
      <c r="AT20" s="206">
        <f>COUNTIF($D20:$AH20,"有")</f>
        <v/>
      </c>
      <c r="AU20" s="206">
        <f>COUNTIF($D20:$AH20,"休")+COUNTIF($D20:$AH20,"希")</f>
        <v/>
      </c>
      <c r="AV20" s="206">
        <f>SUM(AJ20:AT20)</f>
        <v/>
      </c>
      <c r="AW20" s="206" t="n">
        <v>27</v>
      </c>
      <c r="AX20" s="134">
        <f>IF(AV20&lt;=AW20,"OK","NG")</f>
        <v/>
      </c>
    </row>
    <row r="21" ht="35.25" customHeight="1" s="447">
      <c r="B21" s="155" t="inlineStr">
        <is>
          <t>調理職員</t>
        </is>
      </c>
      <c r="C21" s="156" t="inlineStr">
        <is>
          <t>町　　倫子</t>
        </is>
      </c>
      <c r="D21" s="297" t="n"/>
      <c r="E21" s="290" t="n"/>
      <c r="F21" s="290" t="n"/>
      <c r="G21" s="291" t="n"/>
      <c r="H21" s="291" t="n"/>
      <c r="I21" s="291" t="n"/>
      <c r="J21" s="291" t="n"/>
      <c r="K21" s="290" t="n"/>
      <c r="L21" s="290" t="n"/>
      <c r="M21" s="290" t="n"/>
      <c r="N21" s="291" t="n"/>
      <c r="O21" s="291" t="n"/>
      <c r="P21" s="290" t="n"/>
      <c r="Q21" s="291" t="n"/>
      <c r="R21" s="290" t="n"/>
      <c r="S21" s="290" t="n"/>
      <c r="T21" s="290" t="n"/>
      <c r="U21" s="291" t="n"/>
      <c r="V21" s="291" t="n"/>
      <c r="W21" s="291" t="n"/>
      <c r="X21" s="291" t="n"/>
      <c r="Y21" s="290" t="n"/>
      <c r="Z21" s="290" t="n"/>
      <c r="AA21" s="290" t="n"/>
      <c r="AB21" s="291" t="n"/>
      <c r="AC21" s="291" t="n"/>
      <c r="AD21" s="291" t="n"/>
      <c r="AE21" s="291" t="n"/>
      <c r="AF21" s="290" t="n"/>
      <c r="AG21" s="290" t="n"/>
      <c r="AH21" s="311" t="n"/>
      <c r="AI21" s="226" t="n"/>
      <c r="AJ21" s="206" t="n"/>
      <c r="AK21" s="206">
        <f>COUNTIF($D21:$AH21,"B")</f>
        <v/>
      </c>
      <c r="AL21" s="206">
        <f>COUNTIF($D21:$AH21,"D")</f>
        <v/>
      </c>
      <c r="AM21" s="206" t="n"/>
      <c r="AN21" s="206" t="n"/>
      <c r="AO21" s="206" t="n"/>
      <c r="AP21" s="206">
        <f>+COUNTIF($D21:$AH21,"E")</f>
        <v/>
      </c>
      <c r="AQ21" s="206">
        <f>COUNTIF($D21:$AH21,"研")+COUNTIF($D21:$AH21,"健")</f>
        <v/>
      </c>
      <c r="AR21" s="206">
        <f>COUNTIF($D21:$AH21,"調1")</f>
        <v/>
      </c>
      <c r="AS21" s="206">
        <f>COUNTIF($D21:$AH21,"調2")</f>
        <v/>
      </c>
      <c r="AT21" s="206">
        <f>COUNTIF($D21:$AH21,"有")</f>
        <v/>
      </c>
      <c r="AU21" s="206">
        <f>COUNTIF($D21:$AH21,"休")+COUNTIF($D21:$AH21,"希")</f>
        <v/>
      </c>
      <c r="AV21" s="206">
        <f>SUM(AJ21:AT21)</f>
        <v/>
      </c>
      <c r="AW21" s="206" t="n">
        <v>15</v>
      </c>
      <c r="AX21" s="134">
        <f>IF(AV21&lt;=AW21,"OK","NG")</f>
        <v/>
      </c>
    </row>
    <row r="22" ht="35.25" customFormat="1" customHeight="1" s="177">
      <c r="A22" s="132" t="n"/>
      <c r="B22" s="155" t="inlineStr">
        <is>
          <t>調理職員</t>
        </is>
      </c>
      <c r="C22" s="167" t="inlineStr">
        <is>
          <t>甲斐　幸子</t>
        </is>
      </c>
      <c r="D22" s="298" t="n"/>
      <c r="E22" s="291" t="n"/>
      <c r="F22" s="290" t="n"/>
      <c r="G22" s="291" t="n"/>
      <c r="H22" s="291" t="n"/>
      <c r="I22" s="290" t="n"/>
      <c r="J22" s="290" t="n"/>
      <c r="K22" s="291" t="n"/>
      <c r="L22" s="291" t="n"/>
      <c r="M22" s="290" t="n"/>
      <c r="N22" s="291" t="n"/>
      <c r="O22" s="291" t="n"/>
      <c r="P22" s="290" t="n"/>
      <c r="Q22" s="290" t="n"/>
      <c r="R22" s="291" t="n"/>
      <c r="S22" s="291" t="n"/>
      <c r="T22" s="290" t="n"/>
      <c r="U22" s="290" t="n"/>
      <c r="V22" s="291" t="n"/>
      <c r="W22" s="290" t="n"/>
      <c r="X22" s="290" t="n"/>
      <c r="Y22" s="291" t="n"/>
      <c r="Z22" s="291" t="n"/>
      <c r="AA22" s="290" t="n"/>
      <c r="AB22" s="291" t="n"/>
      <c r="AC22" s="291" t="n"/>
      <c r="AD22" s="290" t="n"/>
      <c r="AE22" s="290" t="n"/>
      <c r="AF22" s="291" t="n"/>
      <c r="AG22" s="291" t="n"/>
      <c r="AH22" s="311" t="n"/>
      <c r="AI22" s="231" t="n"/>
      <c r="AJ22" s="206" t="n"/>
      <c r="AK22" s="206">
        <f>COUNTIF($D22:$AH22,"B")</f>
        <v/>
      </c>
      <c r="AL22" s="206">
        <f>COUNTIF($D22:$AH22,"D")</f>
        <v/>
      </c>
      <c r="AM22" s="206" t="n"/>
      <c r="AN22" s="206" t="n"/>
      <c r="AO22" s="206" t="n"/>
      <c r="AP22" s="206">
        <f>+COUNTIF($D22:$AH22,"E")</f>
        <v/>
      </c>
      <c r="AQ22" s="206">
        <f>COUNTIF($D22:$AH22,"研")+COUNTIF($D22:$AH22,"健")</f>
        <v/>
      </c>
      <c r="AR22" s="206">
        <f>COUNTIF($D22:$AH22,"調1")</f>
        <v/>
      </c>
      <c r="AS22" s="206">
        <f>COUNTIF($D22:$AH22,"調2")</f>
        <v/>
      </c>
      <c r="AT22" s="206">
        <f>COUNTIF($D22:$AH22,"有")</f>
        <v/>
      </c>
      <c r="AU22" s="206">
        <f>COUNTIF($D22:$AH22,"休")+COUNTIF($D22:$AH22,"希")</f>
        <v/>
      </c>
      <c r="AV22" s="206">
        <f>SUM(AJ22:AT22)</f>
        <v/>
      </c>
      <c r="AW22" s="206" t="n">
        <v>15</v>
      </c>
      <c r="AX22" s="134">
        <f>IF(AV22&lt;=AW22,"OK","NG")</f>
        <v/>
      </c>
      <c r="AY22" s="132" t="n"/>
      <c r="AZ22" s="132" t="n"/>
      <c r="BA22" s="132" t="n"/>
      <c r="BB22" s="132" t="n"/>
      <c r="BC22" s="132" t="n"/>
      <c r="BD22" s="132" t="n"/>
      <c r="BE22" s="132" t="n"/>
      <c r="BF22" s="132" t="n"/>
    </row>
    <row r="23" ht="35" customFormat="1" customHeight="1" s="177">
      <c r="A23" s="132" t="n"/>
      <c r="B23" s="155" t="inlineStr">
        <is>
          <t>調理職員</t>
        </is>
      </c>
      <c r="C23" s="167" t="inlineStr">
        <is>
          <t>甲斐　美菜子</t>
        </is>
      </c>
      <c r="D23" s="298" t="n"/>
      <c r="E23" s="291" t="n"/>
      <c r="F23" s="291" t="n"/>
      <c r="G23" s="291" t="n"/>
      <c r="H23" s="290" t="n"/>
      <c r="I23" s="291" t="n"/>
      <c r="J23" s="291" t="n"/>
      <c r="K23" s="291" t="n"/>
      <c r="L23" s="291" t="n"/>
      <c r="M23" s="291" t="n"/>
      <c r="N23" s="291" t="n"/>
      <c r="O23" s="290" t="n"/>
      <c r="P23" s="291" t="n"/>
      <c r="Q23" s="291" t="n"/>
      <c r="R23" s="291" t="n"/>
      <c r="S23" s="291" t="n"/>
      <c r="T23" s="291" t="n"/>
      <c r="U23" s="291" t="n"/>
      <c r="V23" s="290" t="n"/>
      <c r="W23" s="291" t="n"/>
      <c r="X23" s="291" t="n"/>
      <c r="Y23" s="291" t="n"/>
      <c r="Z23" s="291" t="n"/>
      <c r="AA23" s="291" t="n"/>
      <c r="AB23" s="291" t="n"/>
      <c r="AC23" s="290" t="n"/>
      <c r="AD23" s="291" t="n"/>
      <c r="AE23" s="291" t="n"/>
      <c r="AF23" s="291" t="n"/>
      <c r="AG23" s="291" t="n"/>
      <c r="AH23" s="311" t="n"/>
      <c r="AI23" s="231" t="n"/>
      <c r="AJ23" s="206" t="n"/>
      <c r="AK23" s="206">
        <f>COUNTIF($D23:$AH23,"B")</f>
        <v/>
      </c>
      <c r="AL23" s="206">
        <f>COUNTIF($D23:$AH23,"D")</f>
        <v/>
      </c>
      <c r="AM23" s="206" t="n"/>
      <c r="AN23" s="206" t="n"/>
      <c r="AO23" s="206" t="n"/>
      <c r="AP23" s="206">
        <f>+COUNTIF($D23:$AH23,"E")</f>
        <v/>
      </c>
      <c r="AQ23" s="206">
        <f>COUNTIF($D23:$AH23,"研")+COUNTIF($D23:$AH23,"健")</f>
        <v/>
      </c>
      <c r="AR23" s="206">
        <f>COUNTIF($D23:$AH23,"調1")</f>
        <v/>
      </c>
      <c r="AS23" s="206">
        <f>COUNTIF($D23:$AH23,"調2")</f>
        <v/>
      </c>
      <c r="AT23" s="206">
        <f>COUNTIF($D23:$AH23,"有")</f>
        <v/>
      </c>
      <c r="AU23" s="206">
        <f>COUNTIF($D23:$AH23,"休")+COUNTIF($D23:$AH23,"希")</f>
        <v/>
      </c>
      <c r="AV23" s="206">
        <f>SUM(AJ23:AT23)</f>
        <v/>
      </c>
      <c r="AW23" s="206" t="n">
        <v>15</v>
      </c>
      <c r="AX23" s="134">
        <f>IF(AV23&lt;=AW23,"OK","NG")</f>
        <v/>
      </c>
      <c r="AY23" s="132" t="n"/>
      <c r="AZ23" s="132" t="n"/>
      <c r="BA23" s="132" t="n"/>
      <c r="BB23" s="132" t="n"/>
      <c r="BC23" s="132" t="n"/>
      <c r="BD23" s="132" t="n"/>
      <c r="BE23" s="132" t="n"/>
      <c r="BF23" s="132" t="n"/>
    </row>
    <row r="24" ht="35" customFormat="1" customHeight="1" s="177">
      <c r="A24" s="132" t="n"/>
      <c r="B24" s="155" t="inlineStr">
        <is>
          <t>調理職員</t>
        </is>
      </c>
      <c r="C24" s="167" t="inlineStr">
        <is>
          <t>高本　みち子</t>
        </is>
      </c>
      <c r="D24" s="298" t="n"/>
      <c r="E24" s="291" t="n"/>
      <c r="F24" s="291" t="n"/>
      <c r="G24" s="290" t="n"/>
      <c r="H24" s="291" t="n"/>
      <c r="I24" s="291" t="n"/>
      <c r="J24" s="291" t="n"/>
      <c r="K24" s="291" t="n"/>
      <c r="L24" s="291" t="n"/>
      <c r="M24" s="291" t="n"/>
      <c r="N24" s="292" t="n"/>
      <c r="O24" s="291" t="n"/>
      <c r="P24" s="291" t="n"/>
      <c r="Q24" s="291" t="n"/>
      <c r="R24" s="291" t="n"/>
      <c r="S24" s="291" t="n"/>
      <c r="T24" s="291" t="n"/>
      <c r="U24" s="292" t="n"/>
      <c r="V24" s="291" t="n"/>
      <c r="W24" s="291" t="n"/>
      <c r="X24" s="291" t="n"/>
      <c r="Y24" s="291" t="n"/>
      <c r="Z24" s="291" t="n"/>
      <c r="AA24" s="291" t="n"/>
      <c r="AB24" s="290" t="n"/>
      <c r="AC24" s="291" t="n"/>
      <c r="AD24" s="291" t="n"/>
      <c r="AE24" s="291" t="n"/>
      <c r="AF24" s="291" t="n"/>
      <c r="AG24" s="291" t="n"/>
      <c r="AH24" s="311" t="n"/>
      <c r="AI24" s="231" t="n"/>
      <c r="AJ24" s="206" t="n"/>
      <c r="AK24" s="206">
        <f>COUNTIF($D24:$AH24,"B")</f>
        <v/>
      </c>
      <c r="AL24" s="206">
        <f>COUNTIF($D24:$AH24,"D")</f>
        <v/>
      </c>
      <c r="AM24" s="206" t="n"/>
      <c r="AN24" s="206" t="n"/>
      <c r="AO24" s="206" t="n"/>
      <c r="AP24" s="206">
        <f>+COUNTIF($D24:$AH24,"E")</f>
        <v/>
      </c>
      <c r="AQ24" s="206">
        <f>COUNTIF($D24:$AH24,"研")+COUNTIF($D24:$AH24,"健")</f>
        <v/>
      </c>
      <c r="AR24" s="206">
        <f>COUNTIF($D24:$AH24,"調1")</f>
        <v/>
      </c>
      <c r="AS24" s="206">
        <f>COUNTIF($D24:$AH24,"調2")</f>
        <v/>
      </c>
      <c r="AT24" s="206">
        <f>COUNTIF($D24:$AH24,"有")</f>
        <v/>
      </c>
      <c r="AU24" s="206">
        <f>COUNTIF($D24:$AH24,"休")+COUNTIF($D24:$AH24,"希")</f>
        <v/>
      </c>
      <c r="AV24" s="206">
        <f>SUM(AJ24:AT24)</f>
        <v/>
      </c>
      <c r="AW24" s="206" t="n"/>
      <c r="AX24" s="134" t="n"/>
      <c r="AY24" s="132" t="n"/>
      <c r="AZ24" s="132" t="n"/>
      <c r="BA24" s="132" t="n"/>
      <c r="BB24" s="132" t="n"/>
      <c r="BC24" s="132" t="n"/>
      <c r="BD24" s="132" t="n"/>
      <c r="BE24" s="132" t="n"/>
      <c r="BF24" s="132" t="n"/>
    </row>
    <row r="25" ht="35" customHeight="1" s="447" thickBot="1">
      <c r="B25" s="168" t="inlineStr">
        <is>
          <t>調理職員</t>
        </is>
      </c>
      <c r="C25" s="169" t="inlineStr">
        <is>
          <t>花田　美幸</t>
        </is>
      </c>
      <c r="D25" s="299" t="n"/>
      <c r="E25" s="300" t="n"/>
      <c r="F25" s="300" t="n"/>
      <c r="G25" s="300" t="n"/>
      <c r="H25" s="300" t="n"/>
      <c r="I25" s="300" t="n"/>
      <c r="J25" s="300" t="n"/>
      <c r="K25" s="300" t="n"/>
      <c r="L25" s="300" t="n"/>
      <c r="M25" s="300" t="n"/>
      <c r="N25" s="300" t="n"/>
      <c r="O25" s="300" t="n"/>
      <c r="P25" s="300" t="n"/>
      <c r="Q25" s="300" t="n"/>
      <c r="R25" s="300" t="n"/>
      <c r="S25" s="300" t="n"/>
      <c r="T25" s="300" t="n"/>
      <c r="U25" s="300" t="n"/>
      <c r="V25" s="300" t="n"/>
      <c r="W25" s="300" t="n"/>
      <c r="X25" s="300" t="n"/>
      <c r="Y25" s="300" t="n"/>
      <c r="Z25" s="300" t="n"/>
      <c r="AA25" s="300" t="n"/>
      <c r="AB25" s="300" t="n"/>
      <c r="AC25" s="300" t="n"/>
      <c r="AD25" s="300" t="n"/>
      <c r="AE25" s="300" t="n"/>
      <c r="AF25" s="301" t="n"/>
      <c r="AG25" s="300" t="n"/>
      <c r="AH25" s="315" t="n"/>
      <c r="AI25" s="188" t="n"/>
      <c r="AJ25" s="206" t="n"/>
      <c r="AK25" s="206">
        <f>COUNTIF($D25:$AH25,"B")</f>
        <v/>
      </c>
      <c r="AL25" s="206">
        <f>COUNTIF($D25:$AH25,"D")</f>
        <v/>
      </c>
      <c r="AM25" s="206" t="n"/>
      <c r="AN25" s="206" t="n"/>
      <c r="AO25" s="206" t="n"/>
      <c r="AP25" s="206">
        <f>+COUNTIF($D25:$AH25,"E")</f>
        <v/>
      </c>
      <c r="AQ25" s="206">
        <f>COUNTIF($D25:$AH25,"研")+COUNTIF($D25:$AH25,"健")</f>
        <v/>
      </c>
      <c r="AR25" s="206">
        <f>COUNTIF($D25:$AH25,"調1")</f>
        <v/>
      </c>
      <c r="AS25" s="206">
        <f>COUNTIF($D25:$AH25,"調2")</f>
        <v/>
      </c>
      <c r="AT25" s="206">
        <f>COUNTIF($D25:$AH25,"有")</f>
        <v/>
      </c>
      <c r="AU25" s="206">
        <f>COUNTIF($D25:$AH25,"休")+COUNTIF($D25:$AH25,"希")</f>
        <v/>
      </c>
      <c r="AV25" s="206">
        <f>SUM(AJ25:AT25)</f>
        <v/>
      </c>
      <c r="AW25" s="206" t="n"/>
      <c r="AX25" s="134" t="n"/>
    </row>
    <row r="26" ht="34.5" customHeight="1" s="447" thickBot="1">
      <c r="B26" s="177" t="n"/>
      <c r="C26" s="241" t="n"/>
      <c r="D26" s="242" t="n"/>
      <c r="E26" s="243" t="n"/>
      <c r="F26" s="243" t="n"/>
      <c r="G26" s="244" t="n"/>
      <c r="H26" s="243" t="n"/>
      <c r="I26" s="244" t="n"/>
      <c r="J26" s="241" t="n"/>
      <c r="K26" s="241" t="n"/>
      <c r="L26" s="242" t="n"/>
      <c r="M26" s="243" t="n"/>
      <c r="N26" s="243" t="n"/>
      <c r="O26" s="243" t="n"/>
      <c r="P26" s="243" t="n"/>
      <c r="Q26" s="244" t="n"/>
      <c r="R26" s="241" t="n"/>
      <c r="S26" s="242" t="n"/>
      <c r="T26" s="241" t="n"/>
      <c r="U26" s="241" t="n"/>
      <c r="V26" s="241" t="n"/>
      <c r="W26" s="241" t="n"/>
      <c r="X26" s="243" t="n"/>
      <c r="Y26" s="243" t="n"/>
      <c r="Z26" s="243" t="n"/>
      <c r="AA26" s="243" t="n"/>
      <c r="AB26" s="242" t="n"/>
      <c r="AC26" s="243" t="n"/>
      <c r="AD26" s="243" t="n"/>
      <c r="AE26" s="243" t="n"/>
      <c r="AF26" s="243" t="n"/>
      <c r="AG26" s="177" t="n"/>
      <c r="AH26" s="177" t="n"/>
      <c r="AJ26" s="206">
        <f>SUM(AJ6:AJ25)</f>
        <v/>
      </c>
      <c r="AK26" s="206">
        <f>SUM(AK6:AK25)</f>
        <v/>
      </c>
      <c r="AL26" s="206">
        <f>SUM(AL6:AL25)</f>
        <v/>
      </c>
      <c r="AM26" s="206">
        <f>SUM(AM6:AM25)</f>
        <v/>
      </c>
      <c r="AN26" s="206">
        <f>SUM(AN6:AN25)</f>
        <v/>
      </c>
      <c r="AO26" s="206">
        <f>SUM(AO6:AO25)</f>
        <v/>
      </c>
      <c r="AP26" s="206">
        <f>SUM(AP6:AP25)</f>
        <v/>
      </c>
      <c r="AQ26" s="206">
        <f>COUNTIF($D26:$AH26,"研")+COUNTIF($D26:$AH26,"健")</f>
        <v/>
      </c>
      <c r="AR26" s="206">
        <f>SUM(AR6:AR25)</f>
        <v/>
      </c>
      <c r="AS26" s="206">
        <f>SUM(AS6:AS25)</f>
        <v/>
      </c>
      <c r="AT26" s="206">
        <f>SUM(AT6:AT25)</f>
        <v/>
      </c>
      <c r="AU26" s="206">
        <f>SUM(AU6:AU25)</f>
        <v/>
      </c>
      <c r="AV26" s="206">
        <f>SUM(AJ26:AT26)</f>
        <v/>
      </c>
      <c r="AW26" s="206" t="n"/>
      <c r="AX26" s="134" t="n"/>
    </row>
    <row r="27" ht="30" customHeight="1" s="447">
      <c r="B27" s="372" t="inlineStr">
        <is>
          <t>介護職員条件満たしているか</t>
        </is>
      </c>
      <c r="C27" s="251" t="inlineStr">
        <is>
          <t>A(9:30-17:30)</t>
        </is>
      </c>
      <c r="D27" s="246">
        <f>COUNTIF(D$6:D$15,"A")</f>
        <v/>
      </c>
      <c r="E27" s="246">
        <f>COUNTIF(E$6:E$15,"A")</f>
        <v/>
      </c>
      <c r="F27" s="246">
        <f>COUNTIF(F$6:F$15,"A")</f>
        <v/>
      </c>
      <c r="G27" s="246">
        <f>COUNTIF(G$6:G$15,"A")</f>
        <v/>
      </c>
      <c r="H27" s="246">
        <f>COUNTIF(H$6:H$15,"A")</f>
        <v/>
      </c>
      <c r="I27" s="246">
        <f>COUNTIF(I$6:I$15,"A")</f>
        <v/>
      </c>
      <c r="J27" s="246">
        <f>COUNTIF(J$6:J$15,"A")</f>
        <v/>
      </c>
      <c r="K27" s="246">
        <f>COUNTIF(K$6:K$15,"A")</f>
        <v/>
      </c>
      <c r="L27" s="246">
        <f>COUNTIF(L$6:L$15,"A")</f>
        <v/>
      </c>
      <c r="M27" s="246">
        <f>COUNTIF(M$6:M$15,"A")</f>
        <v/>
      </c>
      <c r="N27" s="246">
        <f>COUNTIF(N$6:N$15,"A")</f>
        <v/>
      </c>
      <c r="O27" s="246">
        <f>COUNTIF(O$6:O$15,"A")</f>
        <v/>
      </c>
      <c r="P27" s="246">
        <f>COUNTIF(P$6:P$15,"A")</f>
        <v/>
      </c>
      <c r="Q27" s="246">
        <f>COUNTIF(Q$6:Q$15,"A")</f>
        <v/>
      </c>
      <c r="R27" s="246">
        <f>COUNTIF(R$6:R$15,"A")</f>
        <v/>
      </c>
      <c r="S27" s="246">
        <f>COUNTIF(S$6:S$15,"A")</f>
        <v/>
      </c>
      <c r="T27" s="246">
        <f>COUNTIF(T$6:T$15,"A")</f>
        <v/>
      </c>
      <c r="U27" s="246">
        <f>COUNTIF(U$6:U$15,"A")</f>
        <v/>
      </c>
      <c r="V27" s="246">
        <f>COUNTIF(V$6:V$15,"A")</f>
        <v/>
      </c>
      <c r="W27" s="246">
        <f>COUNTIF(W$6:W$15,"A")</f>
        <v/>
      </c>
      <c r="X27" s="246">
        <f>COUNTIF(X$6:X$15,"A")</f>
        <v/>
      </c>
      <c r="Y27" s="246">
        <f>COUNTIF(Y$6:Y$15,"A")</f>
        <v/>
      </c>
      <c r="Z27" s="246">
        <f>COUNTIF(Z$6:Z$15,"A")</f>
        <v/>
      </c>
      <c r="AA27" s="246">
        <f>COUNTIF(AA$6:AA$15,"A")</f>
        <v/>
      </c>
      <c r="AB27" s="246">
        <f>COUNTIF(AB$6:AB$15,"A")</f>
        <v/>
      </c>
      <c r="AC27" s="246">
        <f>COUNTIF(AC$6:AC$15,"A")</f>
        <v/>
      </c>
      <c r="AD27" s="246">
        <f>COUNTIF(AD$6:AD$15,"A")</f>
        <v/>
      </c>
      <c r="AE27" s="246">
        <f>COUNTIF(AE$6:AE$15,"A")</f>
        <v/>
      </c>
      <c r="AF27" s="246">
        <f>COUNTIF(AF$6:AF$15,"A")</f>
        <v/>
      </c>
      <c r="AG27" s="246">
        <f>COUNTIF(AG$6:AG$15,"A")</f>
        <v/>
      </c>
      <c r="AH27" s="246">
        <f>COUNTIF(AH$6:AH$15,"A")</f>
        <v/>
      </c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</row>
    <row r="28" ht="30" customHeight="1" s="447">
      <c r="B28" s="460" t="n"/>
      <c r="C28" s="253" t="inlineStr">
        <is>
          <t>B(7:00-16:00)</t>
        </is>
      </c>
      <c r="D28" s="246">
        <f>COUNTIF(D$6:D$15,"B")</f>
        <v/>
      </c>
      <c r="E28" s="246">
        <f>COUNTIF(E$6:E$15,"B")</f>
        <v/>
      </c>
      <c r="F28" s="246">
        <f>COUNTIF(F$6:F$15,"B")</f>
        <v/>
      </c>
      <c r="G28" s="246">
        <f>COUNTIF(G$6:G$15,"B")</f>
        <v/>
      </c>
      <c r="H28" s="246">
        <f>COUNTIF(H$6:H$15,"B")</f>
        <v/>
      </c>
      <c r="I28" s="246">
        <f>COUNTIF(I$6:I$15,"B")</f>
        <v/>
      </c>
      <c r="J28" s="246">
        <f>COUNTIF(J$6:J$15,"B")</f>
        <v/>
      </c>
      <c r="K28" s="246">
        <f>COUNTIF(K$6:K$15,"B")</f>
        <v/>
      </c>
      <c r="L28" s="246">
        <f>COUNTIF(L$6:L$15,"B")</f>
        <v/>
      </c>
      <c r="M28" s="246">
        <f>COUNTIF(M$6:M$15,"B")</f>
        <v/>
      </c>
      <c r="N28" s="246">
        <f>COUNTIF(N$6:N$15,"B")</f>
        <v/>
      </c>
      <c r="O28" s="246">
        <f>COUNTIF(O$6:O$15,"B")</f>
        <v/>
      </c>
      <c r="P28" s="246">
        <f>COUNTIF(P$6:P$15,"B")</f>
        <v/>
      </c>
      <c r="Q28" s="246">
        <f>COUNTIF(Q$6:Q$15,"B")</f>
        <v/>
      </c>
      <c r="R28" s="246">
        <f>COUNTIF(R$6:R$15,"B")</f>
        <v/>
      </c>
      <c r="S28" s="246">
        <f>COUNTIF(S$6:S$15,"B")</f>
        <v/>
      </c>
      <c r="T28" s="246">
        <f>COUNTIF(T$6:T$15,"B")</f>
        <v/>
      </c>
      <c r="U28" s="246">
        <f>COUNTIF(U$6:U$15,"B")</f>
        <v/>
      </c>
      <c r="V28" s="246">
        <f>COUNTIF(V$6:V$15,"B")</f>
        <v/>
      </c>
      <c r="W28" s="246">
        <f>COUNTIF(W$6:W$15,"B")</f>
        <v/>
      </c>
      <c r="X28" s="246">
        <f>COUNTIF(X$6:X$15,"B")</f>
        <v/>
      </c>
      <c r="Y28" s="246">
        <f>COUNTIF(Y$6:Y$15,"B")</f>
        <v/>
      </c>
      <c r="Z28" s="246">
        <f>COUNTIF(Z$6:Z$15,"B")</f>
        <v/>
      </c>
      <c r="AA28" s="246">
        <f>COUNTIF(AA$6:AA$15,"B")</f>
        <v/>
      </c>
      <c r="AB28" s="246">
        <f>COUNTIF(AB$6:AB$15,"B")</f>
        <v/>
      </c>
      <c r="AC28" s="246">
        <f>COUNTIF(AC$6:AC$15,"B")</f>
        <v/>
      </c>
      <c r="AD28" s="246">
        <f>COUNTIF(AD$6:AD$15,"B")</f>
        <v/>
      </c>
      <c r="AE28" s="246">
        <f>COUNTIF(AE$6:AE$15,"B")</f>
        <v/>
      </c>
      <c r="AF28" s="246">
        <f>COUNTIF(AF$6:AF$15,"B")</f>
        <v/>
      </c>
      <c r="AG28" s="246">
        <f>COUNTIF(AG$6:AG$15,"B")</f>
        <v/>
      </c>
      <c r="AH28" s="246">
        <f>COUNTIF(AH$6:AH$15,"B")</f>
        <v/>
      </c>
      <c r="AJ28" s="245">
        <f t="array" ref="AJ28">SUMPRODUCT((A1:A10)*(CELL("color", A1:A10)=7))</f>
        <v/>
      </c>
      <c r="AK28" s="246" t="n"/>
      <c r="AL28" s="246" t="n"/>
      <c r="AM28" s="245" t="n"/>
      <c r="AN28" s="254" t="n"/>
      <c r="AO28" s="245" t="n"/>
      <c r="AP28" s="246" t="n"/>
      <c r="AQ28" s="245" t="n"/>
      <c r="AR28" s="245" t="n"/>
      <c r="AS28" s="245" t="n"/>
      <c r="AT28" s="246" t="n"/>
      <c r="AU28" s="246" t="n"/>
      <c r="AV28" s="245" t="n"/>
      <c r="AW28" s="245" t="n"/>
    </row>
    <row r="29" ht="30" customHeight="1" s="447">
      <c r="B29" s="460" t="n"/>
      <c r="C29" s="253" t="inlineStr">
        <is>
          <t>C(12:30-20:30)</t>
        </is>
      </c>
      <c r="D29" s="246">
        <f>COUNTIF(D$6:D$15,"C")</f>
        <v/>
      </c>
      <c r="E29" s="246">
        <f>COUNTIF(E$6:E$15,"C")</f>
        <v/>
      </c>
      <c r="F29" s="246">
        <f>COUNTIF(F$6:F$15,"C")</f>
        <v/>
      </c>
      <c r="G29" s="246">
        <f>COUNTIF(G$6:G$15,"C")</f>
        <v/>
      </c>
      <c r="H29" s="246">
        <f>COUNTIF(H$6:H$15,"C")</f>
        <v/>
      </c>
      <c r="I29" s="246">
        <f>COUNTIF(I$6:I$15,"C")</f>
        <v/>
      </c>
      <c r="J29" s="246">
        <f>COUNTIF(J$6:J$15,"C")</f>
        <v/>
      </c>
      <c r="K29" s="246">
        <f>COUNTIF(K$6:K$15,"C")</f>
        <v/>
      </c>
      <c r="L29" s="246">
        <f>COUNTIF(L$6:L$15,"C")</f>
        <v/>
      </c>
      <c r="M29" s="246">
        <f>COUNTIF(M$6:M$15,"C")</f>
        <v/>
      </c>
      <c r="N29" s="246">
        <f>COUNTIF(N$6:N$15,"C")</f>
        <v/>
      </c>
      <c r="O29" s="246">
        <f>COUNTIF(O$6:O$15,"C")</f>
        <v/>
      </c>
      <c r="P29" s="246">
        <f>COUNTIF(P$6:P$15,"C")</f>
        <v/>
      </c>
      <c r="Q29" s="246">
        <f>COUNTIF(Q$6:Q$15,"C")</f>
        <v/>
      </c>
      <c r="R29" s="246">
        <f>COUNTIF(R$6:R$15,"C")</f>
        <v/>
      </c>
      <c r="S29" s="246">
        <f>COUNTIF(S$6:S$15,"C")</f>
        <v/>
      </c>
      <c r="T29" s="246">
        <f>COUNTIF(T$6:T$15,"C")</f>
        <v/>
      </c>
      <c r="U29" s="246">
        <f>COUNTIF(U$6:U$15,"C")</f>
        <v/>
      </c>
      <c r="V29" s="246">
        <f>COUNTIF(V$6:V$15,"C")</f>
        <v/>
      </c>
      <c r="W29" s="246">
        <f>COUNTIF(W$6:W$15,"C")</f>
        <v/>
      </c>
      <c r="X29" s="246">
        <f>COUNTIF(X$6:X$15,"C")</f>
        <v/>
      </c>
      <c r="Y29" s="246">
        <f>COUNTIF(Y$6:Y$15,"C")</f>
        <v/>
      </c>
      <c r="Z29" s="246">
        <f>COUNTIF(Z$6:Z$15,"C")</f>
        <v/>
      </c>
      <c r="AA29" s="246">
        <f>COUNTIF(AA$6:AA$15,"C")</f>
        <v/>
      </c>
      <c r="AB29" s="246">
        <f>COUNTIF(AB$6:AB$15,"C")</f>
        <v/>
      </c>
      <c r="AC29" s="246">
        <f>COUNTIF(AC$6:AC$15,"C")</f>
        <v/>
      </c>
      <c r="AD29" s="246">
        <f>COUNTIF(AD$6:AD$15,"C")</f>
        <v/>
      </c>
      <c r="AE29" s="246">
        <f>COUNTIF(AE$6:AE$15,"C")</f>
        <v/>
      </c>
      <c r="AF29" s="246">
        <f>COUNTIF(AF$6:AF$15,"C")</f>
        <v/>
      </c>
      <c r="AG29" s="246">
        <f>COUNTIF(AG$6:AG$15,"C")</f>
        <v/>
      </c>
      <c r="AH29" s="246">
        <f>COUNTIF(AH$6:AH$15,"C")</f>
        <v/>
      </c>
      <c r="AJ29" s="245" t="n"/>
      <c r="AK29" s="246" t="n"/>
      <c r="AL29" s="246" t="n"/>
      <c r="AM29" s="245" t="n"/>
      <c r="AN29" s="245" t="n"/>
      <c r="AO29" s="245" t="n"/>
      <c r="AP29" s="246" t="n"/>
      <c r="AQ29" s="245" t="n"/>
      <c r="AR29" s="245" t="n"/>
      <c r="AS29" s="245" t="n"/>
      <c r="AT29" s="245" t="n"/>
      <c r="AU29" s="245" t="n"/>
      <c r="AV29" s="245" t="n"/>
      <c r="AW29" s="245" t="n"/>
    </row>
    <row r="30" ht="30" customHeight="1" s="447">
      <c r="B30" s="460" t="n"/>
      <c r="C30" s="253" t="inlineStr">
        <is>
          <t>D(8:30-16:30)</t>
        </is>
      </c>
      <c r="D30" s="246">
        <f>COUNTIF(D$6:D$15,"D")</f>
        <v/>
      </c>
      <c r="E30" s="246">
        <f>COUNTIF(E$6:E$15,"D")</f>
        <v/>
      </c>
      <c r="F30" s="246">
        <f>COUNTIF(F$6:F$15,"D")</f>
        <v/>
      </c>
      <c r="G30" s="246">
        <f>COUNTIF(G$6:G$15,"D")</f>
        <v/>
      </c>
      <c r="H30" s="246">
        <f>COUNTIF(H$6:H$15,"D")</f>
        <v/>
      </c>
      <c r="I30" s="246">
        <f>COUNTIF(I$6:I$15,"D")</f>
        <v/>
      </c>
      <c r="J30" s="246">
        <f>COUNTIF(J$6:J$15,"D")</f>
        <v/>
      </c>
      <c r="K30" s="246">
        <f>COUNTIF(K$6:K$15,"D")</f>
        <v/>
      </c>
      <c r="L30" s="246">
        <f>COUNTIF(L$6:L$15,"D")</f>
        <v/>
      </c>
      <c r="M30" s="246">
        <f>COUNTIF(M$6:M$15,"D")</f>
        <v/>
      </c>
      <c r="N30" s="246">
        <f>COUNTIF(N$6:N$15,"D")</f>
        <v/>
      </c>
      <c r="O30" s="246">
        <f>COUNTIF(O$6:O$15,"D")</f>
        <v/>
      </c>
      <c r="P30" s="246">
        <f>COUNTIF(P$6:P$15,"D")</f>
        <v/>
      </c>
      <c r="Q30" s="246">
        <f>COUNTIF(Q$6:Q$15,"D")</f>
        <v/>
      </c>
      <c r="R30" s="246">
        <f>COUNTIF(R$6:R$15,"D")</f>
        <v/>
      </c>
      <c r="S30" s="246">
        <f>COUNTIF(S$6:S$15,"D")</f>
        <v/>
      </c>
      <c r="T30" s="246">
        <f>COUNTIF(T$6:T$15,"D")</f>
        <v/>
      </c>
      <c r="U30" s="246">
        <f>COUNTIF(U$6:U$15,"D")</f>
        <v/>
      </c>
      <c r="V30" s="246">
        <f>COUNTIF(V$6:V$15,"D")</f>
        <v/>
      </c>
      <c r="W30" s="246">
        <f>COUNTIF(W$6:W$15,"D")</f>
        <v/>
      </c>
      <c r="X30" s="246">
        <f>COUNTIF(X$6:X$15,"D")</f>
        <v/>
      </c>
      <c r="Y30" s="246">
        <f>COUNTIF(Y$6:Y$15,"D")</f>
        <v/>
      </c>
      <c r="Z30" s="246">
        <f>COUNTIF(Z$6:Z$15,"D")</f>
        <v/>
      </c>
      <c r="AA30" s="246">
        <f>COUNTIF(AA$6:AA$15,"D")</f>
        <v/>
      </c>
      <c r="AB30" s="246">
        <f>COUNTIF(AB$6:AB$15,"D")</f>
        <v/>
      </c>
      <c r="AC30" s="246">
        <f>COUNTIF(AC$6:AC$15,"D")</f>
        <v/>
      </c>
      <c r="AD30" s="246">
        <f>COUNTIF(AD$6:AD$15,"D")</f>
        <v/>
      </c>
      <c r="AE30" s="246">
        <f>COUNTIF(AE$6:AE$15,"D")</f>
        <v/>
      </c>
      <c r="AF30" s="246">
        <f>COUNTIF(AF$6:AF$15,"D")</f>
        <v/>
      </c>
      <c r="AG30" s="246">
        <f>COUNTIF(AG$6:AG$15,"D")</f>
        <v/>
      </c>
      <c r="AH30" s="246">
        <f>COUNTIF(AH$6:AH$15,"D")</f>
        <v/>
      </c>
      <c r="AJ30" s="245" t="n"/>
      <c r="AK30" s="246" t="n"/>
      <c r="AL30" s="246" t="n"/>
      <c r="AM30" s="245" t="n"/>
      <c r="AN30" s="245" t="n"/>
      <c r="AO30" s="245" t="n"/>
      <c r="AP30" s="246" t="n"/>
      <c r="AQ30" s="245" t="n"/>
      <c r="AR30" s="245" t="n"/>
      <c r="AS30" s="245" t="n"/>
      <c r="AT30" s="245" t="n"/>
      <c r="AU30" s="245" t="n"/>
      <c r="AV30" s="245" t="n"/>
      <c r="AW30" s="245" t="n"/>
    </row>
    <row r="31" ht="30" customHeight="1" s="447">
      <c r="B31" s="460" t="n"/>
      <c r="C31" s="253" t="inlineStr">
        <is>
          <t>夜勤(17:00-1:00)</t>
        </is>
      </c>
      <c r="D31" s="246">
        <f>COUNTIF(D$6:D$15,"夜")</f>
        <v/>
      </c>
      <c r="E31" s="246">
        <f>COUNTIF(E$6:E$15,"夜")</f>
        <v/>
      </c>
      <c r="F31" s="246">
        <f>COUNTIF(F$6:F$15,"夜")</f>
        <v/>
      </c>
      <c r="G31" s="246">
        <f>COUNTIF(G$6:G$15,"夜")</f>
        <v/>
      </c>
      <c r="H31" s="246">
        <f>COUNTIF(H$6:H$15,"夜")</f>
        <v/>
      </c>
      <c r="I31" s="246">
        <f>COUNTIF(I$6:I$15,"夜")</f>
        <v/>
      </c>
      <c r="J31" s="246">
        <f>COUNTIF(J$6:J$15,"夜")</f>
        <v/>
      </c>
      <c r="K31" s="246">
        <f>COUNTIF(K$6:K$15,"夜")</f>
        <v/>
      </c>
      <c r="L31" s="246">
        <f>COUNTIF(L$6:L$15,"夜")</f>
        <v/>
      </c>
      <c r="M31" s="246">
        <f>COUNTIF(M$6:M$15,"夜")</f>
        <v/>
      </c>
      <c r="N31" s="246">
        <f>COUNTIF(N$6:N$15,"夜")</f>
        <v/>
      </c>
      <c r="O31" s="246">
        <f>COUNTIF(O$6:O$15,"夜")</f>
        <v/>
      </c>
      <c r="P31" s="246">
        <f>COUNTIF(P$6:P$15,"夜")</f>
        <v/>
      </c>
      <c r="Q31" s="246">
        <f>COUNTIF(Q$6:Q$15,"夜")</f>
        <v/>
      </c>
      <c r="R31" s="246">
        <f>COUNTIF(R$6:R$15,"夜")</f>
        <v/>
      </c>
      <c r="S31" s="246">
        <f>COUNTIF(S$6:S$15,"夜")</f>
        <v/>
      </c>
      <c r="T31" s="246">
        <f>COUNTIF(T$6:T$15,"夜")</f>
        <v/>
      </c>
      <c r="U31" s="246">
        <f>COUNTIF(U$6:U$15,"夜")</f>
        <v/>
      </c>
      <c r="V31" s="246">
        <f>COUNTIF(V$6:V$15,"夜")</f>
        <v/>
      </c>
      <c r="W31" s="246">
        <f>COUNTIF(W$6:W$15,"夜")</f>
        <v/>
      </c>
      <c r="X31" s="246">
        <f>COUNTIF(X$6:X$15,"夜")</f>
        <v/>
      </c>
      <c r="Y31" s="246">
        <f>COUNTIF(Y$6:Y$15,"夜")</f>
        <v/>
      </c>
      <c r="Z31" s="246">
        <f>COUNTIF(Z$6:Z$15,"夜")</f>
        <v/>
      </c>
      <c r="AA31" s="246">
        <f>COUNTIF(AA$6:AA$15,"夜")</f>
        <v/>
      </c>
      <c r="AB31" s="246">
        <f>COUNTIF(AB$6:AB$15,"夜")</f>
        <v/>
      </c>
      <c r="AC31" s="246">
        <f>COUNTIF(AC$6:AC$15,"夜")</f>
        <v/>
      </c>
      <c r="AD31" s="246">
        <f>COUNTIF(AD$6:AD$15,"夜")</f>
        <v/>
      </c>
      <c r="AE31" s="246">
        <f>COUNTIF(AE$6:AE$15,"夜")</f>
        <v/>
      </c>
      <c r="AF31" s="246">
        <f>COUNTIF(AF$6:AF$15,"夜")</f>
        <v/>
      </c>
      <c r="AG31" s="246">
        <f>COUNTIF(AG$6:AG$15,"夜")</f>
        <v/>
      </c>
      <c r="AH31" s="246">
        <f>COUNTIF(AH$6:AH$15,"夜")</f>
        <v/>
      </c>
      <c r="AJ31" s="245" t="n"/>
      <c r="AK31" s="246" t="n"/>
      <c r="AL31" s="246" t="n"/>
      <c r="AM31" s="245" t="n"/>
      <c r="AN31" s="247" t="n"/>
      <c r="AO31" s="245" t="n"/>
      <c r="AP31" s="246" t="n"/>
      <c r="AQ31" s="245" t="n"/>
      <c r="AR31" s="245" t="n"/>
      <c r="AS31" s="245" t="n"/>
      <c r="AT31" s="245" t="n"/>
      <c r="AU31" s="245" t="n"/>
      <c r="AV31" s="245" t="n"/>
      <c r="AW31" s="245" t="n"/>
    </row>
    <row r="32" ht="30" customHeight="1" s="447">
      <c r="B32" s="460" t="n"/>
      <c r="C32" s="253" t="inlineStr">
        <is>
          <t>明け(1:00-9:00)</t>
        </is>
      </c>
      <c r="D32" s="246">
        <f>COUNTIF(D$6:D$15,"明")</f>
        <v/>
      </c>
      <c r="E32" s="246">
        <f>COUNTIF(E$6:E$15,"明")</f>
        <v/>
      </c>
      <c r="F32" s="246">
        <f>COUNTIF(F$6:F$15,"明")</f>
        <v/>
      </c>
      <c r="G32" s="246">
        <f>COUNTIF(G$6:G$15,"明")</f>
        <v/>
      </c>
      <c r="H32" s="246">
        <f>COUNTIF(H$6:H$15,"明")</f>
        <v/>
      </c>
      <c r="I32" s="246">
        <f>COUNTIF(I$6:I$15,"明")</f>
        <v/>
      </c>
      <c r="J32" s="246">
        <f>COUNTIF(J$6:J$15,"明")</f>
        <v/>
      </c>
      <c r="K32" s="246">
        <f>COUNTIF(K$6:K$15,"明")</f>
        <v/>
      </c>
      <c r="L32" s="246">
        <f>COUNTIF(L$6:L$15,"明")</f>
        <v/>
      </c>
      <c r="M32" s="246">
        <f>COUNTIF(M$6:M$15,"明")</f>
        <v/>
      </c>
      <c r="N32" s="246">
        <f>COUNTIF(N$6:N$15,"明")</f>
        <v/>
      </c>
      <c r="O32" s="246">
        <f>COUNTIF(O$6:O$15,"明")</f>
        <v/>
      </c>
      <c r="P32" s="246">
        <f>COUNTIF(P$6:P$15,"明")</f>
        <v/>
      </c>
      <c r="Q32" s="246">
        <f>COUNTIF(Q$6:Q$15,"明")</f>
        <v/>
      </c>
      <c r="R32" s="246">
        <f>COUNTIF(R$6:R$15,"明")</f>
        <v/>
      </c>
      <c r="S32" s="246">
        <f>COUNTIF(S$6:S$15,"明")</f>
        <v/>
      </c>
      <c r="T32" s="246">
        <f>COUNTIF(T$6:T$15,"明")</f>
        <v/>
      </c>
      <c r="U32" s="246">
        <f>COUNTIF(U$6:U$15,"明")</f>
        <v/>
      </c>
      <c r="V32" s="246">
        <f>COUNTIF(V$6:V$15,"明")</f>
        <v/>
      </c>
      <c r="W32" s="246">
        <f>COUNTIF(W$6:W$15,"明")</f>
        <v/>
      </c>
      <c r="X32" s="246">
        <f>COUNTIF(X$6:X$15,"明")</f>
        <v/>
      </c>
      <c r="Y32" s="246">
        <f>COUNTIF(Y$6:Y$15,"明")</f>
        <v/>
      </c>
      <c r="Z32" s="246">
        <f>COUNTIF(Z$6:Z$15,"明")</f>
        <v/>
      </c>
      <c r="AA32" s="246">
        <f>COUNTIF(AA$6:AA$15,"明")</f>
        <v/>
      </c>
      <c r="AB32" s="246">
        <f>COUNTIF(AB$6:AB$15,"明")</f>
        <v/>
      </c>
      <c r="AC32" s="246">
        <f>COUNTIF(AC$6:AC$15,"明")</f>
        <v/>
      </c>
      <c r="AD32" s="246">
        <f>COUNTIF(AD$6:AD$15,"明")</f>
        <v/>
      </c>
      <c r="AE32" s="246">
        <f>COUNTIF(AE$6:AE$15,"明")</f>
        <v/>
      </c>
      <c r="AF32" s="246">
        <f>COUNTIF(AF$6:AF$15,"明")</f>
        <v/>
      </c>
      <c r="AG32" s="246">
        <f>COUNTIF(AG$6:AG$15,"明")</f>
        <v/>
      </c>
      <c r="AH32" s="246">
        <f>COUNTIF(AH$6:AH$15,"明")</f>
        <v/>
      </c>
      <c r="AJ32" s="245" t="n"/>
      <c r="AK32" s="246" t="n"/>
      <c r="AL32" s="246" t="n"/>
      <c r="AM32" s="245" t="n"/>
      <c r="AN32" s="245" t="n"/>
      <c r="AO32" s="245" t="n"/>
      <c r="AP32" s="246" t="n"/>
      <c r="AQ32" s="245" t="n"/>
      <c r="AR32" s="245" t="n"/>
      <c r="AS32" s="245" t="n"/>
      <c r="AT32" s="245" t="n"/>
      <c r="AU32" s="245" t="n"/>
      <c r="AV32" s="245" t="n"/>
      <c r="AW32" s="245" t="n"/>
    </row>
    <row r="33" ht="30" customHeight="1" s="447">
      <c r="B33" s="460" t="n"/>
      <c r="C33" s="255" t="inlineStr">
        <is>
          <t>出勤合計</t>
        </is>
      </c>
      <c r="D33" s="246">
        <f>SUM(D27:D32)</f>
        <v/>
      </c>
      <c r="E33" s="246">
        <f>SUM(E27:E32)</f>
        <v/>
      </c>
      <c r="F33" s="246">
        <f>SUM(F27:F32)</f>
        <v/>
      </c>
      <c r="G33" s="246">
        <f>SUM(G27:G32)</f>
        <v/>
      </c>
      <c r="H33" s="246">
        <f>SUM(H27:H32)</f>
        <v/>
      </c>
      <c r="I33" s="246">
        <f>SUM(I27:I32)</f>
        <v/>
      </c>
      <c r="J33" s="246">
        <f>SUM(J27:J32)</f>
        <v/>
      </c>
      <c r="K33" s="246">
        <f>SUM(K27:K32)</f>
        <v/>
      </c>
      <c r="L33" s="246">
        <f>SUM(L27:L32)</f>
        <v/>
      </c>
      <c r="M33" s="246">
        <f>SUM(M27:M32)</f>
        <v/>
      </c>
      <c r="N33" s="246">
        <f>SUM(N27:N32)</f>
        <v/>
      </c>
      <c r="O33" s="246">
        <f>SUM(O27:O32)</f>
        <v/>
      </c>
      <c r="P33" s="246">
        <f>SUM(P27:P32)</f>
        <v/>
      </c>
      <c r="Q33" s="246">
        <f>SUM(Q27:Q32)</f>
        <v/>
      </c>
      <c r="R33" s="246">
        <f>SUM(R27:R32)</f>
        <v/>
      </c>
      <c r="S33" s="246">
        <f>SUM(S27:S32)</f>
        <v/>
      </c>
      <c r="T33" s="246">
        <f>SUM(T27:T32)</f>
        <v/>
      </c>
      <c r="U33" s="246">
        <f>SUM(U27:U32)</f>
        <v/>
      </c>
      <c r="V33" s="246">
        <f>SUM(V27:V32)</f>
        <v/>
      </c>
      <c r="W33" s="246">
        <f>SUM(W27:W32)</f>
        <v/>
      </c>
      <c r="X33" s="246">
        <f>SUM(X27:X32)</f>
        <v/>
      </c>
      <c r="Y33" s="246">
        <f>SUM(Y27:Y32)</f>
        <v/>
      </c>
      <c r="Z33" s="246">
        <f>SUM(Z27:Z32)</f>
        <v/>
      </c>
      <c r="AA33" s="246">
        <f>SUM(AA27:AA32)</f>
        <v/>
      </c>
      <c r="AB33" s="246">
        <f>SUM(AB27:AB32)</f>
        <v/>
      </c>
      <c r="AC33" s="246">
        <f>SUM(AC27:AC32)</f>
        <v/>
      </c>
      <c r="AD33" s="246">
        <f>SUM(AD27:AD32)</f>
        <v/>
      </c>
      <c r="AE33" s="246">
        <f>SUM(AE27:AE32)</f>
        <v/>
      </c>
      <c r="AF33" s="246">
        <f>SUM(AF27:AF32)</f>
        <v/>
      </c>
      <c r="AG33" s="246">
        <f>SUM(AG27:AG32)</f>
        <v/>
      </c>
      <c r="AH33" s="246">
        <f>SUM(AH27:AH32)</f>
        <v/>
      </c>
      <c r="AJ33" s="245" t="n"/>
      <c r="AK33" s="246" t="n"/>
      <c r="AL33" s="246" t="n"/>
      <c r="AM33" s="245" t="n"/>
      <c r="AN33" s="247" t="n"/>
      <c r="AO33" s="245" t="n"/>
      <c r="AP33" s="246" t="n"/>
      <c r="AQ33" s="245" t="n"/>
      <c r="AR33" s="245" t="n"/>
      <c r="AS33" s="245" t="n"/>
      <c r="AT33" s="245" t="n"/>
      <c r="AU33" s="245" t="n"/>
      <c r="AV33" s="245" t="n"/>
      <c r="AW33" s="245" t="n"/>
    </row>
    <row r="34" ht="30" customHeight="1" s="447">
      <c r="B34" s="460" t="n"/>
      <c r="C34" s="255" t="inlineStr">
        <is>
          <t>休日・有給</t>
        </is>
      </c>
      <c r="D34" s="246">
        <f>COUNTIF(D$6:D$15,"休")+COUNTIF(D$6:D$15,"希")+COUNTIF(D$6:D$15,"有")</f>
        <v/>
      </c>
      <c r="E34" s="246">
        <f>COUNTIF(E$6:E$15,"休")+COUNTIF(E$6:E$15,"希")+COUNTIF(E$6:E$15,"有")</f>
        <v/>
      </c>
      <c r="F34" s="246">
        <f>COUNTIF(F$6:F$15,"休")+COUNTIF(F$6:F$15,"希")+COUNTIF(F$6:F$15,"有")</f>
        <v/>
      </c>
      <c r="G34" s="246">
        <f>COUNTIF(G$6:G$15,"休")+COUNTIF(G$6:G$15,"希")+COUNTIF(G$6:G$15,"有")</f>
        <v/>
      </c>
      <c r="H34" s="246">
        <f>COUNTIF(H$6:H$15,"休")+COUNTIF(H$6:H$15,"希")+COUNTIF(H$6:H$15,"有")</f>
        <v/>
      </c>
      <c r="I34" s="246">
        <f>COUNTIF(I$6:I$15,"休")+COUNTIF(I$6:I$15,"希")+COUNTIF(I$6:I$15,"有")</f>
        <v/>
      </c>
      <c r="J34" s="246">
        <f>COUNTIF(J$6:J$15,"休")+COUNTIF(J$6:J$15,"希")+COUNTIF(J$6:J$15,"有")</f>
        <v/>
      </c>
      <c r="K34" s="246">
        <f>COUNTIF(K$6:K$15,"休")+COUNTIF(K$6:K$15,"希")+COUNTIF(K$6:K$15,"有")</f>
        <v/>
      </c>
      <c r="L34" s="246">
        <f>COUNTIF(L$6:L$15,"休")+COUNTIF(L$6:L$15,"希")+COUNTIF(L$6:L$15,"有")</f>
        <v/>
      </c>
      <c r="M34" s="246">
        <f>COUNTIF(M$6:M$15,"休")+COUNTIF(M$6:M$15,"希")+COUNTIF(M$6:M$15,"有")</f>
        <v/>
      </c>
      <c r="N34" s="246">
        <f>COUNTIF(N$6:N$15,"休")+COUNTIF(N$6:N$15,"希")+COUNTIF(N$6:N$15,"有")</f>
        <v/>
      </c>
      <c r="O34" s="246">
        <f>COUNTIF(O$6:O$15,"休")+COUNTIF(O$6:O$15,"希")+COUNTIF(O$6:O$15,"有")</f>
        <v/>
      </c>
      <c r="P34" s="246">
        <f>COUNTIF(P$6:P$15,"休")+COUNTIF(P$6:P$15,"希")+COUNTIF(P$6:P$15,"有")</f>
        <v/>
      </c>
      <c r="Q34" s="246">
        <f>COUNTIF(Q$6:Q$15,"休")+COUNTIF(Q$6:Q$15,"希")+COUNTIF(Q$6:Q$15,"有")</f>
        <v/>
      </c>
      <c r="R34" s="246">
        <f>COUNTIF(R$6:R$15,"休")+COUNTIF(R$6:R$15,"希")+COUNTIF(R$6:R$15,"有")</f>
        <v/>
      </c>
      <c r="S34" s="246">
        <f>COUNTIF(S$6:S$15,"休")+COUNTIF(S$6:S$15,"希")+COUNTIF(S$6:S$15,"有")</f>
        <v/>
      </c>
      <c r="T34" s="246">
        <f>COUNTIF(T$6:T$15,"休")+COUNTIF(T$6:T$15,"希")+COUNTIF(T$6:T$15,"有")</f>
        <v/>
      </c>
      <c r="U34" s="246">
        <f>COUNTIF(U$6:U$15,"休")+COUNTIF(U$6:U$15,"希")+COUNTIF(U$6:U$15,"有")</f>
        <v/>
      </c>
      <c r="V34" s="246">
        <f>COUNTIF(V$6:V$15,"休")+COUNTIF(V$6:V$15,"希")+COUNTIF(V$6:V$15,"有")</f>
        <v/>
      </c>
      <c r="W34" s="246">
        <f>COUNTIF(W$6:W$15,"休")+COUNTIF(W$6:W$15,"希")+COUNTIF(W$6:W$15,"有")</f>
        <v/>
      </c>
      <c r="X34" s="246">
        <f>COUNTIF(X$6:X$15,"休")+COUNTIF(X$6:X$15,"希")+COUNTIF(X$6:X$15,"有")</f>
        <v/>
      </c>
      <c r="Y34" s="246">
        <f>COUNTIF(Y$6:Y$15,"休")+COUNTIF(Y$6:Y$15,"希")+COUNTIF(Y$6:Y$15,"有")</f>
        <v/>
      </c>
      <c r="Z34" s="246">
        <f>COUNTIF(Z$6:Z$15,"休")+COUNTIF(Z$6:Z$15,"希")+COUNTIF(Z$6:Z$15,"有")</f>
        <v/>
      </c>
      <c r="AA34" s="246">
        <f>COUNTIF(AA$6:AA$15,"休")+COUNTIF(AA$6:AA$15,"希")+COUNTIF(AA$6:AA$15,"有")</f>
        <v/>
      </c>
      <c r="AB34" s="246">
        <f>COUNTIF(AB$6:AB$15,"休")+COUNTIF(AB$6:AB$15,"希")+COUNTIF(AB$6:AB$15,"有")</f>
        <v/>
      </c>
      <c r="AC34" s="246">
        <f>COUNTIF(AC$6:AC$15,"休")+COUNTIF(AC$6:AC$15,"希")+COUNTIF(AC$6:AC$15,"有")</f>
        <v/>
      </c>
      <c r="AD34" s="246">
        <f>COUNTIF(AD$6:AD$15,"休")+COUNTIF(AD$6:AD$15,"希")+COUNTIF(AD$6:AD$15,"有")</f>
        <v/>
      </c>
      <c r="AE34" s="246">
        <f>COUNTIF(AE$6:AE$15,"休")+COUNTIF(AE$6:AE$15,"希")+COUNTIF(AE$6:AE$15,"有")</f>
        <v/>
      </c>
      <c r="AF34" s="246">
        <f>COUNTIF(AF$6:AF$15,"休")+COUNTIF(AF$6:AF$15,"希")+COUNTIF(AF$6:AF$15,"有")</f>
        <v/>
      </c>
      <c r="AG34" s="246">
        <f>COUNTIF(AG$6:AG$15,"休")+COUNTIF(AG$6:AG$15,"希")+COUNTIF(AG$6:AG$15,"有")</f>
        <v/>
      </c>
      <c r="AH34" s="246">
        <f>COUNTIF(AH$6:AH$15,"休")+COUNTIF(AH$6:AH$15,"希")+COUNTIF(AH$6:AH$15,"有")</f>
        <v/>
      </c>
      <c r="AJ34" s="245" t="n"/>
      <c r="AK34" s="246" t="n"/>
      <c r="AL34" s="246" t="n"/>
      <c r="AM34" s="245" t="n"/>
      <c r="AN34" s="247" t="n"/>
      <c r="AO34" s="245" t="n"/>
      <c r="AP34" s="246" t="n"/>
      <c r="AQ34" s="245" t="n"/>
      <c r="AR34" s="245" t="n"/>
      <c r="AS34" s="245" t="n"/>
      <c r="AT34" s="245" t="n"/>
      <c r="AU34" s="245" t="n"/>
      <c r="AV34" s="245" t="n"/>
      <c r="AW34" s="245" t="n"/>
    </row>
    <row r="35" ht="30" customHeight="1" s="447" thickBot="1">
      <c r="B35" s="461" t="n"/>
      <c r="C35" s="256" t="inlineStr">
        <is>
          <t>シフト成立</t>
        </is>
      </c>
      <c r="D35" s="277">
        <f>IF(OR(AND(D31&gt;0,D32&gt;0,D28&gt;0,D29&gt;0),AND(D31&gt;0,D32&gt;0,D29&gt;0,D30&gt;0),AND(D31&gt;0,D32&gt;0,D27&gt;0,D29&gt;0)),"成立",IF(OR(AND(D31&gt;0,D32&gt;0,D27&gt;0),AND(D31&gt;0,D32&gt;0,D30&gt;0)),"30分残業","不成立"))</f>
        <v/>
      </c>
      <c r="E35" s="277">
        <f>IF(OR(AND(E31&gt;0,E32&gt;0,E28&gt;0,E29&gt;0),AND(E31&gt;0,E32&gt;0,E29&gt;0,E30&gt;0),AND(E31&gt;0,E32&gt;0,E27&gt;0,E29&gt;0)),"成立",IF(OR(AND(E31&gt;0,E32&gt;0,E27&gt;0),AND(E31&gt;0,E32&gt;0,E30&gt;0)),"30分残業","不成立"))</f>
        <v/>
      </c>
      <c r="F35" s="277">
        <f>IF(OR(AND(F31&gt;0,F32&gt;0,F28&gt;0,F29&gt;0),AND(F31&gt;0,F32&gt;0,F29&gt;0,F30&gt;0),AND(F31&gt;0,F32&gt;0,F27&gt;0,F29&gt;0)),"成立",IF(OR(AND(F31&gt;0,F32&gt;0,F27&gt;0),AND(F31&gt;0,F32&gt;0,F30&gt;0)),"30分残業","不成立"))</f>
        <v/>
      </c>
      <c r="G35" s="277">
        <f>IF(OR(AND(G31&gt;0,G32&gt;0,G28&gt;0,G29&gt;0),AND(G31&gt;0,G32&gt;0,G29&gt;0,G30&gt;0),AND(G31&gt;0,G32&gt;0,G27&gt;0,G29&gt;0)),"成立",IF(OR(AND(G31&gt;0,G32&gt;0,G27&gt;0),AND(G31&gt;0,G32&gt;0,G30&gt;0)),"30分残業","不成立"))</f>
        <v/>
      </c>
      <c r="H35" s="277">
        <f>IF(OR(AND(H31&gt;0,H32&gt;0,H28&gt;0,H29&gt;0),AND(H31&gt;0,H32&gt;0,H29&gt;0,H30&gt;0),AND(H31&gt;0,H32&gt;0,H27&gt;0,H29&gt;0)),"成立",IF(OR(AND(H31&gt;0,H32&gt;0,H27&gt;0),AND(H31&gt;0,H32&gt;0,H30&gt;0)),"30分残業","不成立"))</f>
        <v/>
      </c>
      <c r="I35" s="277">
        <f>IF(OR(AND(I31&gt;0,I32&gt;0,I28&gt;0,I29&gt;0),AND(I31&gt;0,I32&gt;0,I29&gt;0,I30&gt;0),AND(I31&gt;0,I32&gt;0,I27&gt;0,I29&gt;0)),"成立",IF(OR(AND(I31&gt;0,I32&gt;0,I27&gt;0),AND(I31&gt;0,I32&gt;0,I30&gt;0)),"30分残業","不成立"))</f>
        <v/>
      </c>
      <c r="J35" s="277">
        <f>IF(OR(AND(J31&gt;0,J32&gt;0,J28&gt;0,J29&gt;0),AND(J31&gt;0,J32&gt;0,J29&gt;0,J30&gt;0),AND(J31&gt;0,J32&gt;0,J27&gt;0,J29&gt;0)),"成立",IF(OR(AND(J31&gt;0,J32&gt;0,J27&gt;0),AND(J31&gt;0,J32&gt;0,J30&gt;0)),"30分残業","不成立"))</f>
        <v/>
      </c>
      <c r="K35" s="277">
        <f>IF(OR(AND(K31&gt;0,K32&gt;0,K28&gt;0,K29&gt;0),AND(K31&gt;0,K32&gt;0,K29&gt;0,K30&gt;0),AND(K31&gt;0,K32&gt;0,K27&gt;0,K29&gt;0)),"成立",IF(OR(AND(K31&gt;0,K32&gt;0,K27&gt;0),AND(K31&gt;0,K32&gt;0,K30&gt;0)),"30分残業","不成立"))</f>
        <v/>
      </c>
      <c r="L35" s="277">
        <f>IF(OR(AND(L31&gt;0,L32&gt;0,L28&gt;0,L29&gt;0),AND(L31&gt;0,L32&gt;0,L29&gt;0,L30&gt;0),AND(L31&gt;0,L32&gt;0,L27&gt;0,L29&gt;0)),"成立",IF(OR(AND(L31&gt;0,L32&gt;0,L27&gt;0),AND(L31&gt;0,L32&gt;0,L30&gt;0)),"30分残業","不成立"))</f>
        <v/>
      </c>
      <c r="M35" s="277">
        <f>IF(OR(AND(M31&gt;0,M32&gt;0,M28&gt;0,M29&gt;0),AND(M31&gt;0,M32&gt;0,M29&gt;0,M30&gt;0),AND(M31&gt;0,M32&gt;0,M27&gt;0,M29&gt;0)),"成立",IF(OR(AND(M31&gt;0,M32&gt;0,M27&gt;0),AND(M31&gt;0,M32&gt;0,M30&gt;0)),"30分残業","不成立"))</f>
        <v/>
      </c>
      <c r="N35" s="277">
        <f>IF(OR(AND(N31&gt;0,N32&gt;0,N28&gt;0,N29&gt;0),AND(N31&gt;0,N32&gt;0,N29&gt;0,N30&gt;0),AND(N31&gt;0,N32&gt;0,N27&gt;0,N29&gt;0)),"成立",IF(OR(AND(N31&gt;0,N32&gt;0,N27&gt;0),AND(N31&gt;0,N32&gt;0,N30&gt;0)),"30分残業","不成立"))</f>
        <v/>
      </c>
      <c r="O35" s="277">
        <f>IF(OR(AND(O31&gt;0,O32&gt;0,O28&gt;0,O29&gt;0),AND(O31&gt;0,O32&gt;0,O29&gt;0,O30&gt;0),AND(O31&gt;0,O32&gt;0,O27&gt;0,O29&gt;0)),"成立",IF(OR(AND(O31&gt;0,O32&gt;0,O27&gt;0),AND(O31&gt;0,O32&gt;0,O30&gt;0)),"30分残業","不成立"))</f>
        <v/>
      </c>
      <c r="P35" s="277">
        <f>IF(OR(AND(P31&gt;0,P32&gt;0,P28&gt;0,P29&gt;0),AND(P31&gt;0,P32&gt;0,P29&gt;0,P30&gt;0),AND(P31&gt;0,P32&gt;0,P27&gt;0,P29&gt;0)),"成立",IF(OR(AND(P31&gt;0,P32&gt;0,P27&gt;0),AND(P31&gt;0,P32&gt;0,P30&gt;0)),"30分残業","不成立"))</f>
        <v/>
      </c>
      <c r="Q35" s="277">
        <f>IF(OR(AND(Q31&gt;0,Q32&gt;0,Q28&gt;0,Q29&gt;0),AND(Q31&gt;0,Q32&gt;0,Q29&gt;0,Q30&gt;0),AND(Q31&gt;0,Q32&gt;0,Q27&gt;0,Q29&gt;0)),"成立",IF(OR(AND(Q31&gt;0,Q32&gt;0,Q27&gt;0),AND(Q31&gt;0,Q32&gt;0,Q30&gt;0)),"30分残業","不成立"))</f>
        <v/>
      </c>
      <c r="R35" s="277">
        <f>IF(OR(AND(R31&gt;0,R32&gt;0,R28&gt;0,R29&gt;0),AND(R31&gt;0,R32&gt;0,R29&gt;0,R30&gt;0),AND(R31&gt;0,R32&gt;0,R27&gt;0,R29&gt;0)),"成立",IF(OR(AND(R31&gt;0,R32&gt;0,R27&gt;0),AND(R31&gt;0,R32&gt;0,R30&gt;0)),"30分残業","不成立"))</f>
        <v/>
      </c>
      <c r="S35" s="277">
        <f>IF(OR(AND(S31&gt;0,S32&gt;0,S28&gt;0,S29&gt;0),AND(S31&gt;0,S32&gt;0,S29&gt;0,S30&gt;0),AND(S31&gt;0,S32&gt;0,S27&gt;0,S29&gt;0)),"成立",IF(OR(AND(S31&gt;0,S32&gt;0,S27&gt;0),AND(S31&gt;0,S32&gt;0,S30&gt;0)),"30分残業","不成立"))</f>
        <v/>
      </c>
      <c r="T35" s="277">
        <f>IF(OR(AND(T31&gt;0,T32&gt;0,T28&gt;0,T29&gt;0),AND(T31&gt;0,T32&gt;0,T29&gt;0,T30&gt;0),AND(T31&gt;0,T32&gt;0,T27&gt;0,T29&gt;0)),"成立",IF(OR(AND(T31&gt;0,T32&gt;0,T27&gt;0),AND(T31&gt;0,T32&gt;0,T30&gt;0)),"30分残業","不成立"))</f>
        <v/>
      </c>
      <c r="U35" s="277">
        <f>IF(OR(AND(U31&gt;0,U32&gt;0,U28&gt;0,U29&gt;0),AND(U31&gt;0,U32&gt;0,U29&gt;0,U30&gt;0),AND(U31&gt;0,U32&gt;0,U27&gt;0,U29&gt;0)),"成立",IF(OR(AND(U31&gt;0,U32&gt;0,U27&gt;0),AND(U31&gt;0,U32&gt;0,U30&gt;0)),"30分残業","不成立"))</f>
        <v/>
      </c>
      <c r="V35" s="277">
        <f>IF(OR(AND(V31&gt;0,V32&gt;0,V28&gt;0,V29&gt;0),AND(V31&gt;0,V32&gt;0,V29&gt;0,V30&gt;0),AND(V31&gt;0,V32&gt;0,V27&gt;0,V29&gt;0)),"成立",IF(OR(AND(V31&gt;0,V32&gt;0,V27&gt;0),AND(V31&gt;0,V32&gt;0,V30&gt;0)),"30分残業","不成立"))</f>
        <v/>
      </c>
      <c r="W35" s="277">
        <f>IF(OR(AND(W31&gt;0,W32&gt;0,W28&gt;0,W29&gt;0),AND(W31&gt;0,W32&gt;0,W29&gt;0,W30&gt;0),AND(W31&gt;0,W32&gt;0,W27&gt;0,W29&gt;0)),"成立",IF(OR(AND(W31&gt;0,W32&gt;0,W27&gt;0),AND(W31&gt;0,W32&gt;0,W30&gt;0)),"30分残業","不成立"))</f>
        <v/>
      </c>
      <c r="X35" s="277">
        <f>IF(OR(AND(X31&gt;0,X32&gt;0,X28&gt;0,X29&gt;0),AND(X31&gt;0,X32&gt;0,X29&gt;0,X30&gt;0),AND(X31&gt;0,X32&gt;0,X27&gt;0,X29&gt;0)),"成立",IF(OR(AND(X31&gt;0,X32&gt;0,X27&gt;0),AND(X31&gt;0,X32&gt;0,X30&gt;0)),"30分残業","不成立"))</f>
        <v/>
      </c>
      <c r="Y35" s="277">
        <f>IF(OR(AND(Y31&gt;0,Y32&gt;0,Y28&gt;0,Y29&gt;0),AND(Y31&gt;0,Y32&gt;0,Y29&gt;0,Y30&gt;0),AND(Y31&gt;0,Y32&gt;0,Y27&gt;0,Y29&gt;0)),"成立",IF(OR(AND(Y31&gt;0,Y32&gt;0,Y27&gt;0),AND(Y31&gt;0,Y32&gt;0,Y30&gt;0)),"30分残業","不成立"))</f>
        <v/>
      </c>
      <c r="Z35" s="277">
        <f>IF(OR(AND(Z31&gt;0,Z32&gt;0,Z28&gt;0,Z29&gt;0),AND(Z31&gt;0,Z32&gt;0,Z29&gt;0,Z30&gt;0),AND(Z31&gt;0,Z32&gt;0,Z27&gt;0,Z29&gt;0)),"成立",IF(OR(AND(Z31&gt;0,Z32&gt;0,Z27&gt;0),AND(Z31&gt;0,Z32&gt;0,Z30&gt;0)),"30分残業","不成立"))</f>
        <v/>
      </c>
      <c r="AA35" s="277">
        <f>IF(OR(AND(AA31&gt;0,AA32&gt;0,AA28&gt;0,AA29&gt;0),AND(AA31&gt;0,AA32&gt;0,AA29&gt;0,AA30&gt;0),AND(AA31&gt;0,AA32&gt;0,AA27&gt;0,AA29&gt;0)),"成立",IF(OR(AND(AA31&gt;0,AA32&gt;0,AA27&gt;0),AND(AA31&gt;0,AA32&gt;0,AA30&gt;0)),"30分残業","不成立"))</f>
        <v/>
      </c>
      <c r="AB35" s="277">
        <f>IF(OR(AND(AB31&gt;0,AB32&gt;0,AB28&gt;0,AB29&gt;0),AND(AB31&gt;0,AB32&gt;0,AB29&gt;0,AB30&gt;0),AND(AB31&gt;0,AB32&gt;0,AB27&gt;0,AB29&gt;0)),"成立",IF(OR(AND(AB31&gt;0,AB32&gt;0,AB27&gt;0),AND(AB31&gt;0,AB32&gt;0,AB30&gt;0)),"30分残業","不成立"))</f>
        <v/>
      </c>
      <c r="AC35" s="277">
        <f>IF(OR(AND(AC31&gt;0,AC32&gt;0,AC28&gt;0,AC29&gt;0),AND(AC31&gt;0,AC32&gt;0,AC29&gt;0,AC30&gt;0),AND(AC31&gt;0,AC32&gt;0,AC27&gt;0,AC29&gt;0)),"成立",IF(OR(AND(AC31&gt;0,AC32&gt;0,AC27&gt;0),AND(AC31&gt;0,AC32&gt;0,AC30&gt;0)),"30分残業","不成立"))</f>
        <v/>
      </c>
      <c r="AD35" s="277">
        <f>IF(OR(AND(AD31&gt;0,AD32&gt;0,AD28&gt;0,AD29&gt;0),AND(AD31&gt;0,AD32&gt;0,AD29&gt;0,AD30&gt;0),AND(AD31&gt;0,AD32&gt;0,AD27&gt;0,AD29&gt;0)),"成立",IF(OR(AND(AD31&gt;0,AD32&gt;0,AD27&gt;0),AND(AD31&gt;0,AD32&gt;0,AD30&gt;0)),"30分残業","不成立"))</f>
        <v/>
      </c>
      <c r="AE35" s="277">
        <f>IF(OR(AND(AE31&gt;0,AE32&gt;0,AE28&gt;0,AE29&gt;0),AND(AE31&gt;0,AE32&gt;0,AE29&gt;0,AE30&gt;0),AND(AE31&gt;0,AE32&gt;0,AE27&gt;0,AE29&gt;0)),"成立",IF(OR(AND(AE31&gt;0,AE32&gt;0,AE27&gt;0),AND(AE31&gt;0,AE32&gt;0,AE30&gt;0)),"30分残業","不成立"))</f>
        <v/>
      </c>
      <c r="AF35" s="277">
        <f>IF(OR(AND(AF31&gt;0,AF32&gt;0,AF28&gt;0,AF29&gt;0),AND(AF31&gt;0,AF32&gt;0,AF29&gt;0,AF30&gt;0),AND(AF31&gt;0,AF32&gt;0,AF27&gt;0,AF29&gt;0)),"成立",IF(OR(AND(AF31&gt;0,AF32&gt;0,AF27&gt;0),AND(AF31&gt;0,AF32&gt;0,AF30&gt;0)),"30分残業","不成立"))</f>
        <v/>
      </c>
      <c r="AG35" s="277">
        <f>IF(OR(AND(AG31&gt;0,AG32&gt;0,AG28&gt;0,AG29&gt;0),AND(AG31&gt;0,AG32&gt;0,AG29&gt;0,AG30&gt;0),AND(AG31&gt;0,AG32&gt;0,AG27&gt;0,AG29&gt;0)),"成立",IF(OR(AND(AG31&gt;0,AG32&gt;0,AG27&gt;0),AND(AG31&gt;0,AG32&gt;0,AG30&gt;0)),"30分残業","不成立"))</f>
        <v/>
      </c>
      <c r="AH35" s="442">
        <f>IF(OR(AND(AH31&gt;0,AH32&gt;0,AH28&gt;0,AH29&gt;0),AND(AH31&gt;0,AH32&gt;0,AH29&gt;0,AH30&gt;0)),"成立",IF(OR(AND(AH31&gt;0,AH32&gt;0,AH27&gt;0,AH29&gt;0),AND(AH31&gt;0,AH32&gt;0,AH27&gt;0),AND(AH31&gt;0,AH32&gt;0,AH30&gt;0)),"30分残業","不成立"))</f>
        <v/>
      </c>
      <c r="AJ35" s="245" t="n"/>
      <c r="AK35" s="246" t="n"/>
      <c r="AL35" s="246" t="n"/>
      <c r="AM35" s="245" t="n"/>
      <c r="AN35" s="245" t="n"/>
      <c r="AO35" s="245" t="n"/>
      <c r="AP35" s="246" t="n"/>
      <c r="AQ35" s="245" t="n"/>
      <c r="AR35" s="245" t="n"/>
      <c r="AS35" s="245" t="n"/>
      <c r="AT35" s="245" t="n"/>
      <c r="AU35" s="245" t="n"/>
      <c r="AV35" s="245" t="n"/>
      <c r="AW35" s="245" t="n"/>
    </row>
    <row r="36" ht="30" customHeight="1" s="447">
      <c r="B36" s="177" t="n"/>
      <c r="C36" s="177" t="n"/>
      <c r="D36" s="242" t="n"/>
      <c r="E36" s="243" t="n"/>
      <c r="F36" s="242" t="n"/>
      <c r="G36" s="242" t="n"/>
      <c r="H36" s="242" t="n"/>
      <c r="I36" s="242" t="n"/>
      <c r="J36" s="177" t="n"/>
      <c r="K36" s="177" t="n"/>
      <c r="L36" s="177" t="n"/>
      <c r="M36" s="177" t="n"/>
      <c r="N36" s="177" t="n"/>
      <c r="O36" s="177" t="n"/>
      <c r="P36" s="177" t="n"/>
      <c r="Q36" s="177" t="n"/>
      <c r="R36" s="177" t="n"/>
      <c r="S36" s="177" t="n"/>
      <c r="T36" s="177" t="n"/>
      <c r="U36" s="177" t="n"/>
      <c r="V36" s="177" t="n"/>
      <c r="W36" s="177" t="n"/>
      <c r="X36" s="177" t="n"/>
      <c r="Y36" s="177" t="n"/>
      <c r="Z36" s="177" t="n"/>
      <c r="AA36" s="177" t="n"/>
      <c r="AB36" s="177" t="n"/>
      <c r="AC36" s="177" t="n"/>
      <c r="AD36" s="177" t="n"/>
      <c r="AE36" s="177" t="n"/>
      <c r="AF36" s="177" t="n"/>
      <c r="AG36" s="177" t="n"/>
      <c r="AH36" s="177" t="n"/>
      <c r="AK36" s="246" t="n"/>
      <c r="AL36" s="246" t="n"/>
      <c r="AP36" s="246" t="n"/>
    </row>
    <row r="37" ht="30" customHeight="1" s="447" thickBot="1">
      <c r="AK37" s="246" t="n"/>
      <c r="AL37" s="246" t="n"/>
      <c r="AP37" s="246" t="n"/>
    </row>
    <row r="38" ht="30" customHeight="1" s="447">
      <c r="B38" s="375" t="inlineStr">
        <is>
          <t>介護関連職員出勤数</t>
        </is>
      </c>
      <c r="C38" s="251" t="inlineStr">
        <is>
          <t>A(9:30-17:30)</t>
        </is>
      </c>
      <c r="D38" s="246">
        <f>COUNTIF(D$6:D$18,"A")</f>
        <v/>
      </c>
      <c r="E38" s="246">
        <f>COUNTIF(E$6:E$18,"A")</f>
        <v/>
      </c>
      <c r="F38" s="246">
        <f>COUNTIF(F$6:F$18,"A")</f>
        <v/>
      </c>
      <c r="G38" s="246">
        <f>COUNTIF(G$6:G$18,"A")</f>
        <v/>
      </c>
      <c r="H38" s="246">
        <f>COUNTIF(H$6:H$18,"A")</f>
        <v/>
      </c>
      <c r="I38" s="246">
        <f>COUNTIF(I$6:I$18,"A")</f>
        <v/>
      </c>
      <c r="J38" s="246">
        <f>COUNTIF(J$6:J$18,"A")</f>
        <v/>
      </c>
      <c r="K38" s="246">
        <f>COUNTIF(K$6:K$18,"A")</f>
        <v/>
      </c>
      <c r="L38" s="246">
        <f>COUNTIF(L$6:L$18,"A")</f>
        <v/>
      </c>
      <c r="M38" s="246">
        <f>COUNTIF(M$6:M$18,"A")</f>
        <v/>
      </c>
      <c r="N38" s="246">
        <f>COUNTIF(N$6:N$18,"A")</f>
        <v/>
      </c>
      <c r="O38" s="246">
        <f>COUNTIF(O$6:O$18,"A")</f>
        <v/>
      </c>
      <c r="P38" s="246">
        <f>COUNTIF(P$6:P$18,"A")</f>
        <v/>
      </c>
      <c r="Q38" s="246">
        <f>COUNTIF(Q$6:Q$18,"A")</f>
        <v/>
      </c>
      <c r="R38" s="246">
        <f>COUNTIF(R$6:R$18,"A")</f>
        <v/>
      </c>
      <c r="S38" s="246">
        <f>COUNTIF(S$6:S$18,"A")</f>
        <v/>
      </c>
      <c r="T38" s="246">
        <f>COUNTIF(T$6:T$18,"A")</f>
        <v/>
      </c>
      <c r="U38" s="246">
        <f>COUNTIF(U$6:U$18,"A")</f>
        <v/>
      </c>
      <c r="V38" s="246">
        <f>COUNTIF(V$6:V$18,"A")</f>
        <v/>
      </c>
      <c r="W38" s="246">
        <f>COUNTIF(W$6:W$18,"A")</f>
        <v/>
      </c>
      <c r="X38" s="246">
        <f>COUNTIF(X$6:X$18,"A")</f>
        <v/>
      </c>
      <c r="Y38" s="246">
        <f>COUNTIF(Y$6:Y$18,"A")</f>
        <v/>
      </c>
      <c r="Z38" s="246">
        <f>COUNTIF(Z$6:Z$18,"A")</f>
        <v/>
      </c>
      <c r="AA38" s="246">
        <f>COUNTIF(AA$6:AA$18,"A")</f>
        <v/>
      </c>
      <c r="AB38" s="246">
        <f>COUNTIF(AB$6:AB$18,"A")</f>
        <v/>
      </c>
      <c r="AC38" s="246">
        <f>COUNTIF(AC$6:AC$18,"A")</f>
        <v/>
      </c>
      <c r="AD38" s="246">
        <f>COUNTIF(AD$6:AD$18,"A")</f>
        <v/>
      </c>
      <c r="AE38" s="246">
        <f>COUNTIF(AE$6:AE$18,"A")</f>
        <v/>
      </c>
      <c r="AF38" s="246">
        <f>COUNTIF(AF$6:AF$18,"A")</f>
        <v/>
      </c>
      <c r="AG38" s="246">
        <f>COUNTIF(AG$6:AG$18,"A")</f>
        <v/>
      </c>
      <c r="AH38" s="246">
        <f>COUNTIF(AH$6:AH$18,"A")</f>
        <v/>
      </c>
      <c r="AK38" s="246" t="n"/>
      <c r="AL38" s="246" t="n"/>
      <c r="AP38" s="246" t="n"/>
    </row>
    <row r="39" ht="30" customHeight="1" s="447">
      <c r="B39" s="460" t="n"/>
      <c r="C39" s="253" t="inlineStr">
        <is>
          <t>B(7:00-16:00)</t>
        </is>
      </c>
      <c r="D39" s="246">
        <f>COUNTIF(D$6:D$18,"B")</f>
        <v/>
      </c>
      <c r="E39" s="246">
        <f>COUNTIF(E$6:E$18,"B")</f>
        <v/>
      </c>
      <c r="F39" s="246">
        <f>COUNTIF(F$6:F$18,"B")</f>
        <v/>
      </c>
      <c r="G39" s="246">
        <f>COUNTIF(G$6:G$18,"B")</f>
        <v/>
      </c>
      <c r="H39" s="246">
        <f>COUNTIF(H$6:H$18,"B")</f>
        <v/>
      </c>
      <c r="I39" s="246">
        <f>COUNTIF(I$6:I$18,"B")</f>
        <v/>
      </c>
      <c r="J39" s="246">
        <f>COUNTIF(J$6:J$18,"B")</f>
        <v/>
      </c>
      <c r="K39" s="246">
        <f>COUNTIF(K$6:K$18,"B")</f>
        <v/>
      </c>
      <c r="L39" s="246">
        <f>COUNTIF(L$6:L$18,"B")</f>
        <v/>
      </c>
      <c r="M39" s="246">
        <f>COUNTIF(M$6:M$18,"B")</f>
        <v/>
      </c>
      <c r="N39" s="246">
        <f>COUNTIF(N$6:N$18,"B")</f>
        <v/>
      </c>
      <c r="O39" s="246">
        <f>COUNTIF(O$6:O$18,"B")</f>
        <v/>
      </c>
      <c r="P39" s="246">
        <f>COUNTIF(P$6:P$18,"B")</f>
        <v/>
      </c>
      <c r="Q39" s="246">
        <f>COUNTIF(Q$6:Q$18,"B")</f>
        <v/>
      </c>
      <c r="R39" s="246">
        <f>COUNTIF(R$6:R$18,"B")</f>
        <v/>
      </c>
      <c r="S39" s="246">
        <f>COUNTIF(S$6:S$18,"B")</f>
        <v/>
      </c>
      <c r="T39" s="246">
        <f>COUNTIF(T$6:T$18,"B")</f>
        <v/>
      </c>
      <c r="U39" s="246">
        <f>COUNTIF(U$6:U$18,"B")</f>
        <v/>
      </c>
      <c r="V39" s="246">
        <f>COUNTIF(V$6:V$18,"B")</f>
        <v/>
      </c>
      <c r="W39" s="246">
        <f>COUNTIF(W$6:W$18,"B")</f>
        <v/>
      </c>
      <c r="X39" s="246">
        <f>COUNTIF(X$6:X$18,"B")</f>
        <v/>
      </c>
      <c r="Y39" s="246">
        <f>COUNTIF(Y$6:Y$18,"B")</f>
        <v/>
      </c>
      <c r="Z39" s="246">
        <f>COUNTIF(Z$6:Z$18,"B")</f>
        <v/>
      </c>
      <c r="AA39" s="246">
        <f>COUNTIF(AA$6:AA$18,"B")</f>
        <v/>
      </c>
      <c r="AB39" s="246">
        <f>COUNTIF(AB$6:AB$18,"B")</f>
        <v/>
      </c>
      <c r="AC39" s="246">
        <f>COUNTIF(AC$6:AC$18,"B")</f>
        <v/>
      </c>
      <c r="AD39" s="246">
        <f>COUNTIF(AD$6:AD$18,"B")</f>
        <v/>
      </c>
      <c r="AE39" s="246">
        <f>COUNTIF(AE$6:AE$18,"B")</f>
        <v/>
      </c>
      <c r="AF39" s="246">
        <f>COUNTIF(AF$6:AF$18,"B")</f>
        <v/>
      </c>
      <c r="AG39" s="246">
        <f>COUNTIF(AG$6:AG$18,"B")</f>
        <v/>
      </c>
      <c r="AH39" s="246">
        <f>COUNTIF(AH$6:AH$18,"B")</f>
        <v/>
      </c>
      <c r="AK39" s="246" t="n"/>
      <c r="AL39" s="246" t="n"/>
      <c r="AP39" s="246" t="n"/>
    </row>
    <row r="40" ht="30" customHeight="1" s="447">
      <c r="B40" s="460" t="n"/>
      <c r="C40" s="253" t="inlineStr">
        <is>
          <t>C(12:30-20:30)</t>
        </is>
      </c>
      <c r="D40" s="246">
        <f>COUNTIF(D$6:D$18,"C")</f>
        <v/>
      </c>
      <c r="E40" s="246">
        <f>COUNTIF(E$6:E$18,"C")</f>
        <v/>
      </c>
      <c r="F40" s="246">
        <f>COUNTIF(F$6:F$18,"C")</f>
        <v/>
      </c>
      <c r="G40" s="246">
        <f>COUNTIF(G$6:G$18,"C")</f>
        <v/>
      </c>
      <c r="H40" s="246">
        <f>COUNTIF(H$6:H$18,"C")</f>
        <v/>
      </c>
      <c r="I40" s="246">
        <f>COUNTIF(I$6:I$18,"C")</f>
        <v/>
      </c>
      <c r="J40" s="246">
        <f>COUNTIF(J$6:J$18,"C")</f>
        <v/>
      </c>
      <c r="K40" s="246">
        <f>COUNTIF(K$6:K$18,"C")</f>
        <v/>
      </c>
      <c r="L40" s="246">
        <f>COUNTIF(L$6:L$18,"C")</f>
        <v/>
      </c>
      <c r="M40" s="246">
        <f>COUNTIF(M$6:M$18,"C")</f>
        <v/>
      </c>
      <c r="N40" s="246">
        <f>COUNTIF(N$6:N$18,"C")</f>
        <v/>
      </c>
      <c r="O40" s="246">
        <f>COUNTIF(O$6:O$18,"C")</f>
        <v/>
      </c>
      <c r="P40" s="246">
        <f>COUNTIF(P$6:P$18,"C")</f>
        <v/>
      </c>
      <c r="Q40" s="246">
        <f>COUNTIF(Q$6:Q$18,"C")</f>
        <v/>
      </c>
      <c r="R40" s="246">
        <f>COUNTIF(R$6:R$18,"C")</f>
        <v/>
      </c>
      <c r="S40" s="246">
        <f>COUNTIF(S$6:S$18,"C")</f>
        <v/>
      </c>
      <c r="T40" s="246">
        <f>COUNTIF(T$6:T$18,"C")</f>
        <v/>
      </c>
      <c r="U40" s="246">
        <f>COUNTIF(U$6:U$18,"C")</f>
        <v/>
      </c>
      <c r="V40" s="246">
        <f>COUNTIF(V$6:V$18,"C")</f>
        <v/>
      </c>
      <c r="W40" s="246">
        <f>COUNTIF(W$6:W$18,"C")</f>
        <v/>
      </c>
      <c r="X40" s="246">
        <f>COUNTIF(X$6:X$18,"C")</f>
        <v/>
      </c>
      <c r="Y40" s="246">
        <f>COUNTIF(Y$6:Y$18,"C")</f>
        <v/>
      </c>
      <c r="Z40" s="246">
        <f>COUNTIF(Z$6:Z$18,"C")</f>
        <v/>
      </c>
      <c r="AA40" s="246">
        <f>COUNTIF(AA$6:AA$18,"C")</f>
        <v/>
      </c>
      <c r="AB40" s="246">
        <f>COUNTIF(AB$6:AB$18,"C")</f>
        <v/>
      </c>
      <c r="AC40" s="246">
        <f>COUNTIF(AC$6:AC$18,"C")</f>
        <v/>
      </c>
      <c r="AD40" s="246">
        <f>COUNTIF(AD$6:AD$18,"C")</f>
        <v/>
      </c>
      <c r="AE40" s="246">
        <f>COUNTIF(AE$6:AE$18,"C")</f>
        <v/>
      </c>
      <c r="AF40" s="246">
        <f>COUNTIF(AF$6:AF$18,"C")</f>
        <v/>
      </c>
      <c r="AG40" s="246">
        <f>COUNTIF(AG$6:AG$18,"C")</f>
        <v/>
      </c>
      <c r="AH40" s="246">
        <f>COUNTIF(AH$6:AH$18,"C")</f>
        <v/>
      </c>
      <c r="AK40" s="246" t="n"/>
      <c r="AL40" s="246" t="n"/>
      <c r="AP40" s="246" t="n"/>
    </row>
    <row r="41" ht="30" customHeight="1" s="447">
      <c r="B41" s="460" t="n"/>
      <c r="C41" s="253" t="inlineStr">
        <is>
          <t>D(8:30-16:30)</t>
        </is>
      </c>
      <c r="D41" s="246">
        <f>COUNTIF(D$6:D$18,"D")</f>
        <v/>
      </c>
      <c r="E41" s="246">
        <f>COUNTIF(E$6:E$18,"D")</f>
        <v/>
      </c>
      <c r="F41" s="246">
        <f>COUNTIF(F$6:F$18,"D")</f>
        <v/>
      </c>
      <c r="G41" s="246">
        <f>COUNTIF(G$6:G$18,"D")</f>
        <v/>
      </c>
      <c r="H41" s="246">
        <f>COUNTIF(H$6:H$18,"D")</f>
        <v/>
      </c>
      <c r="I41" s="246">
        <f>COUNTIF(I$6:I$18,"D")</f>
        <v/>
      </c>
      <c r="J41" s="246">
        <f>COUNTIF(J$6:J$18,"D")</f>
        <v/>
      </c>
      <c r="K41" s="246">
        <f>COUNTIF(K$6:K$18,"D")</f>
        <v/>
      </c>
      <c r="L41" s="246">
        <f>COUNTIF(L$6:L$18,"D")</f>
        <v/>
      </c>
      <c r="M41" s="246">
        <f>COUNTIF(M$6:M$18,"D")</f>
        <v/>
      </c>
      <c r="N41" s="246">
        <f>COUNTIF(N$6:N$18,"D")</f>
        <v/>
      </c>
      <c r="O41" s="246">
        <f>COUNTIF(O$6:O$18,"D")</f>
        <v/>
      </c>
      <c r="P41" s="246">
        <f>COUNTIF(P$6:P$18,"D")</f>
        <v/>
      </c>
      <c r="Q41" s="246">
        <f>COUNTIF(Q$6:Q$18,"D")</f>
        <v/>
      </c>
      <c r="R41" s="246">
        <f>COUNTIF(R$6:R$18,"D")</f>
        <v/>
      </c>
      <c r="S41" s="246">
        <f>COUNTIF(S$6:S$18,"D")</f>
        <v/>
      </c>
      <c r="T41" s="246">
        <f>COUNTIF(T$6:T$18,"D")</f>
        <v/>
      </c>
      <c r="U41" s="246">
        <f>COUNTIF(U$6:U$18,"D")</f>
        <v/>
      </c>
      <c r="V41" s="246">
        <f>COUNTIF(V$6:V$18,"D")</f>
        <v/>
      </c>
      <c r="W41" s="246">
        <f>COUNTIF(W$6:W$18,"D")</f>
        <v/>
      </c>
      <c r="X41" s="246">
        <f>COUNTIF(X$6:X$18,"D")</f>
        <v/>
      </c>
      <c r="Y41" s="246">
        <f>COUNTIF(Y$6:Y$18,"D")</f>
        <v/>
      </c>
      <c r="Z41" s="246">
        <f>COUNTIF(Z$6:Z$18,"D")</f>
        <v/>
      </c>
      <c r="AA41" s="246">
        <f>COUNTIF(AA$6:AA$18,"D")</f>
        <v/>
      </c>
      <c r="AB41" s="246">
        <f>COUNTIF(AB$6:AB$18,"D")</f>
        <v/>
      </c>
      <c r="AC41" s="246">
        <f>COUNTIF(AC$6:AC$18,"D")</f>
        <v/>
      </c>
      <c r="AD41" s="246">
        <f>COUNTIF(AD$6:AD$18,"D")</f>
        <v/>
      </c>
      <c r="AE41" s="246">
        <f>COUNTIF(AE$6:AE$18,"D")</f>
        <v/>
      </c>
      <c r="AF41" s="246">
        <f>COUNTIF(AF$6:AF$18,"D")</f>
        <v/>
      </c>
      <c r="AG41" s="246">
        <f>COUNTIF(AG$6:AG$18,"D")</f>
        <v/>
      </c>
      <c r="AH41" s="246">
        <f>COUNTIF(AH$6:AH$18,"D")</f>
        <v/>
      </c>
    </row>
    <row r="42" ht="30" customHeight="1" s="447">
      <c r="B42" s="460" t="n"/>
      <c r="C42" s="253" t="inlineStr">
        <is>
          <t>E(8:30-16:30)</t>
        </is>
      </c>
      <c r="D42" s="246">
        <f>COUNTIF(D$6:D$18,"E")</f>
        <v/>
      </c>
      <c r="E42" s="246">
        <f>COUNTIF(E$6:E$18,"E")</f>
        <v/>
      </c>
      <c r="F42" s="246">
        <f>COUNTIF(F$6:F$18,"E")</f>
        <v/>
      </c>
      <c r="G42" s="246">
        <f>COUNTIF(G$6:G$18,"E")</f>
        <v/>
      </c>
      <c r="H42" s="246">
        <f>COUNTIF(H$6:H$18,"E")</f>
        <v/>
      </c>
      <c r="I42" s="246">
        <f>COUNTIF(I$6:I$18,"E")</f>
        <v/>
      </c>
      <c r="J42" s="246">
        <f>COUNTIF(J$6:J$18,"E")</f>
        <v/>
      </c>
      <c r="K42" s="246">
        <f>COUNTIF(K$6:K$18,"E")</f>
        <v/>
      </c>
      <c r="L42" s="246">
        <f>COUNTIF(L$6:L$18,"E")</f>
        <v/>
      </c>
      <c r="M42" s="246">
        <f>COUNTIF(M$6:M$18,"E")</f>
        <v/>
      </c>
      <c r="N42" s="246">
        <f>COUNTIF(N$6:N$18,"E")</f>
        <v/>
      </c>
      <c r="O42" s="246">
        <f>COUNTIF(O$6:O$18,"E")</f>
        <v/>
      </c>
      <c r="P42" s="246">
        <f>COUNTIF(P$6:P$18,"E")</f>
        <v/>
      </c>
      <c r="Q42" s="246">
        <f>COUNTIF(Q$6:Q$18,"E")</f>
        <v/>
      </c>
      <c r="R42" s="246">
        <f>COUNTIF(R$6:R$18,"E")</f>
        <v/>
      </c>
      <c r="S42" s="246">
        <f>COUNTIF(S$6:S$18,"E")</f>
        <v/>
      </c>
      <c r="T42" s="246">
        <f>COUNTIF(T$6:T$18,"E")</f>
        <v/>
      </c>
      <c r="U42" s="246">
        <f>COUNTIF(U$6:U$18,"E")</f>
        <v/>
      </c>
      <c r="V42" s="246">
        <f>COUNTIF(V$6:V$18,"E")</f>
        <v/>
      </c>
      <c r="W42" s="246">
        <f>COUNTIF(W$6:W$18,"E")</f>
        <v/>
      </c>
      <c r="X42" s="246">
        <f>COUNTIF(X$6:X$18,"E")</f>
        <v/>
      </c>
      <c r="Y42" s="246">
        <f>COUNTIF(Y$6:Y$18,"E")</f>
        <v/>
      </c>
      <c r="Z42" s="246">
        <f>COUNTIF(Z$6:Z$18,"E")</f>
        <v/>
      </c>
      <c r="AA42" s="246">
        <f>COUNTIF(AA$6:AA$18,"E")</f>
        <v/>
      </c>
      <c r="AB42" s="246">
        <f>COUNTIF(AB$6:AB$18,"E")</f>
        <v/>
      </c>
      <c r="AC42" s="246">
        <f>COUNTIF(AC$6:AC$18,"E")</f>
        <v/>
      </c>
      <c r="AD42" s="246">
        <f>COUNTIF(AD$6:AD$18,"E")</f>
        <v/>
      </c>
      <c r="AE42" s="246">
        <f>COUNTIF(AE$6:AE$18,"E")</f>
        <v/>
      </c>
      <c r="AF42" s="246">
        <f>COUNTIF(AF$6:AF$18,"E")</f>
        <v/>
      </c>
      <c r="AG42" s="246">
        <f>COUNTIF(AG$6:AG$18,"E")</f>
        <v/>
      </c>
      <c r="AH42" s="246">
        <f>COUNTIF(AH$6:AH$18,"E")</f>
        <v/>
      </c>
    </row>
    <row r="43" ht="30" customHeight="1" s="447">
      <c r="B43" s="460" t="n"/>
      <c r="C43" s="253" t="inlineStr">
        <is>
          <t>夜勤(17:00-1:00)</t>
        </is>
      </c>
      <c r="D43" s="246">
        <f>COUNTIF(D$6:D$18,"夜")</f>
        <v/>
      </c>
      <c r="E43" s="246">
        <f>COUNTIF(E$6:E$18,"夜")</f>
        <v/>
      </c>
      <c r="F43" s="246">
        <f>COUNTIF(F$6:F$18,"夜")</f>
        <v/>
      </c>
      <c r="G43" s="246">
        <f>COUNTIF(G$6:G$18,"夜")</f>
        <v/>
      </c>
      <c r="H43" s="246">
        <f>COUNTIF(H$6:H$18,"夜")</f>
        <v/>
      </c>
      <c r="I43" s="246">
        <f>COUNTIF(I$6:I$18,"夜")</f>
        <v/>
      </c>
      <c r="J43" s="246">
        <f>COUNTIF(J$6:J$18,"夜")</f>
        <v/>
      </c>
      <c r="K43" s="246">
        <f>COUNTIF(K$6:K$18,"夜")</f>
        <v/>
      </c>
      <c r="L43" s="246">
        <f>COUNTIF(L$6:L$18,"夜")</f>
        <v/>
      </c>
      <c r="M43" s="246">
        <f>COUNTIF(M$6:M$18,"夜")</f>
        <v/>
      </c>
      <c r="N43" s="246">
        <f>COUNTIF(N$6:N$18,"夜")</f>
        <v/>
      </c>
      <c r="O43" s="246">
        <f>COUNTIF(O$6:O$18,"夜")</f>
        <v/>
      </c>
      <c r="P43" s="246">
        <f>COUNTIF(P$6:P$18,"夜")</f>
        <v/>
      </c>
      <c r="Q43" s="246">
        <f>COUNTIF(Q$6:Q$18,"夜")</f>
        <v/>
      </c>
      <c r="R43" s="246">
        <f>COUNTIF(R$6:R$18,"夜")</f>
        <v/>
      </c>
      <c r="S43" s="246">
        <f>COUNTIF(S$6:S$18,"夜")</f>
        <v/>
      </c>
      <c r="T43" s="246">
        <f>COUNTIF(T$6:T$18,"夜")</f>
        <v/>
      </c>
      <c r="U43" s="246">
        <f>COUNTIF(U$6:U$18,"夜")</f>
        <v/>
      </c>
      <c r="V43" s="246">
        <f>COUNTIF(V$6:V$18,"夜")</f>
        <v/>
      </c>
      <c r="W43" s="246">
        <f>COUNTIF(W$6:W$18,"夜")</f>
        <v/>
      </c>
      <c r="X43" s="246">
        <f>COUNTIF(X$6:X$18,"夜")</f>
        <v/>
      </c>
      <c r="Y43" s="246">
        <f>COUNTIF(Y$6:Y$18,"夜")</f>
        <v/>
      </c>
      <c r="Z43" s="246">
        <f>COUNTIF(Z$6:Z$18,"夜")</f>
        <v/>
      </c>
      <c r="AA43" s="246">
        <f>COUNTIF(AA$6:AA$18,"夜")</f>
        <v/>
      </c>
      <c r="AB43" s="246">
        <f>COUNTIF(AB$6:AB$18,"夜")</f>
        <v/>
      </c>
      <c r="AC43" s="246">
        <f>COUNTIF(AC$6:AC$18,"夜")</f>
        <v/>
      </c>
      <c r="AD43" s="246">
        <f>COUNTIF(AD$6:AD$18,"夜")</f>
        <v/>
      </c>
      <c r="AE43" s="246">
        <f>COUNTIF(AE$6:AE$18,"夜")</f>
        <v/>
      </c>
      <c r="AF43" s="246">
        <f>COUNTIF(AF$6:AF$18,"夜")</f>
        <v/>
      </c>
      <c r="AG43" s="246">
        <f>COUNTIF(AG$6:AG$18,"夜")</f>
        <v/>
      </c>
      <c r="AH43" s="246">
        <f>COUNTIF(AH$6:AH$18,"夜")</f>
        <v/>
      </c>
    </row>
    <row r="44" ht="30" customHeight="1" s="447">
      <c r="B44" s="460" t="n"/>
      <c r="C44" s="253" t="inlineStr">
        <is>
          <t>明け(1:00-9:00)</t>
        </is>
      </c>
      <c r="D44" s="246">
        <f>COUNTIF(D$6:D$18,"明")</f>
        <v/>
      </c>
      <c r="E44" s="246">
        <f>COUNTIF(E$6:E$18,"明")</f>
        <v/>
      </c>
      <c r="F44" s="246">
        <f>COUNTIF(F$6:F$18,"明")</f>
        <v/>
      </c>
      <c r="G44" s="246">
        <f>COUNTIF(G$6:G$18,"明")</f>
        <v/>
      </c>
      <c r="H44" s="246">
        <f>COUNTIF(H$6:H$18,"明")</f>
        <v/>
      </c>
      <c r="I44" s="246">
        <f>COUNTIF(I$6:I$18,"明")</f>
        <v/>
      </c>
      <c r="J44" s="246">
        <f>COUNTIF(J$6:J$18,"明")</f>
        <v/>
      </c>
      <c r="K44" s="246">
        <f>COUNTIF(K$6:K$18,"明")</f>
        <v/>
      </c>
      <c r="L44" s="246">
        <f>COUNTIF(L$6:L$18,"明")</f>
        <v/>
      </c>
      <c r="M44" s="246">
        <f>COUNTIF(M$6:M$18,"明")</f>
        <v/>
      </c>
      <c r="N44" s="246">
        <f>COUNTIF(N$6:N$18,"明")</f>
        <v/>
      </c>
      <c r="O44" s="246">
        <f>COUNTIF(O$6:O$18,"明")</f>
        <v/>
      </c>
      <c r="P44" s="246">
        <f>COUNTIF(P$6:P$18,"明")</f>
        <v/>
      </c>
      <c r="Q44" s="246">
        <f>COUNTIF(Q$6:Q$18,"明")</f>
        <v/>
      </c>
      <c r="R44" s="246">
        <f>COUNTIF(R$6:R$18,"明")</f>
        <v/>
      </c>
      <c r="S44" s="246">
        <f>COUNTIF(S$6:S$18,"明")</f>
        <v/>
      </c>
      <c r="T44" s="246">
        <f>COUNTIF(T$6:T$18,"明")</f>
        <v/>
      </c>
      <c r="U44" s="246">
        <f>COUNTIF(U$6:U$18,"明")</f>
        <v/>
      </c>
      <c r="V44" s="246">
        <f>COUNTIF(V$6:V$18,"明")</f>
        <v/>
      </c>
      <c r="W44" s="246">
        <f>COUNTIF(W$6:W$18,"明")</f>
        <v/>
      </c>
      <c r="X44" s="246">
        <f>COUNTIF(X$6:X$18,"明")</f>
        <v/>
      </c>
      <c r="Y44" s="246">
        <f>COUNTIF(Y$6:Y$18,"明")</f>
        <v/>
      </c>
      <c r="Z44" s="246">
        <f>COUNTIF(Z$6:Z$18,"明")</f>
        <v/>
      </c>
      <c r="AA44" s="246">
        <f>COUNTIF(AA$6:AA$18,"明")</f>
        <v/>
      </c>
      <c r="AB44" s="246">
        <f>COUNTIF(AB$6:AB$18,"明")</f>
        <v/>
      </c>
      <c r="AC44" s="246">
        <f>COUNTIF(AC$6:AC$18,"明")</f>
        <v/>
      </c>
      <c r="AD44" s="246">
        <f>COUNTIF(AD$6:AD$18,"明")</f>
        <v/>
      </c>
      <c r="AE44" s="246">
        <f>COUNTIF(AE$6:AE$18,"明")</f>
        <v/>
      </c>
      <c r="AF44" s="246">
        <f>COUNTIF(AF$6:AF$18,"明")</f>
        <v/>
      </c>
      <c r="AG44" s="246">
        <f>COUNTIF(AG$6:AG$18,"明")</f>
        <v/>
      </c>
      <c r="AH44" s="246">
        <f>COUNTIF(AH$6:AH$18,"明")</f>
        <v/>
      </c>
    </row>
    <row r="45" ht="30" customHeight="1" s="447">
      <c r="B45" s="460" t="n"/>
      <c r="C45" s="255" t="inlineStr">
        <is>
          <t>出勤合計</t>
        </is>
      </c>
      <c r="D45" s="246">
        <f>SUM(D38:D44)</f>
        <v/>
      </c>
      <c r="E45" s="246">
        <f>SUM(E38:E44)</f>
        <v/>
      </c>
      <c r="F45" s="246">
        <f>SUM(F38:F44)</f>
        <v/>
      </c>
      <c r="G45" s="246">
        <f>SUM(G38:G44)</f>
        <v/>
      </c>
      <c r="H45" s="246">
        <f>SUM(H38:H44)</f>
        <v/>
      </c>
      <c r="I45" s="246">
        <f>SUM(I38:I44)</f>
        <v/>
      </c>
      <c r="J45" s="246">
        <f>SUM(J38:J44)</f>
        <v/>
      </c>
      <c r="K45" s="246">
        <f>SUM(K38:K44)</f>
        <v/>
      </c>
      <c r="L45" s="246">
        <f>SUM(L38:L44)</f>
        <v/>
      </c>
      <c r="M45" s="246">
        <f>SUM(M38:M44)</f>
        <v/>
      </c>
      <c r="N45" s="246">
        <f>SUM(N38:N44)</f>
        <v/>
      </c>
      <c r="O45" s="246">
        <f>SUM(O38:O44)</f>
        <v/>
      </c>
      <c r="P45" s="246">
        <f>SUM(P38:P44)</f>
        <v/>
      </c>
      <c r="Q45" s="246">
        <f>SUM(Q38:Q44)</f>
        <v/>
      </c>
      <c r="R45" s="246">
        <f>SUM(R38:R44)</f>
        <v/>
      </c>
      <c r="S45" s="246">
        <f>SUM(S38:S44)</f>
        <v/>
      </c>
      <c r="T45" s="246">
        <f>SUM(T38:T44)</f>
        <v/>
      </c>
      <c r="U45" s="246">
        <f>SUM(U38:U44)</f>
        <v/>
      </c>
      <c r="V45" s="246">
        <f>SUM(V38:V44)</f>
        <v/>
      </c>
      <c r="W45" s="246">
        <f>SUM(W38:W44)</f>
        <v/>
      </c>
      <c r="X45" s="246">
        <f>SUM(X38:X44)</f>
        <v/>
      </c>
      <c r="Y45" s="246">
        <f>SUM(Y38:Y44)</f>
        <v/>
      </c>
      <c r="Z45" s="246">
        <f>SUM(Z38:Z44)</f>
        <v/>
      </c>
      <c r="AA45" s="246">
        <f>SUM(AA38:AA44)</f>
        <v/>
      </c>
      <c r="AB45" s="246">
        <f>SUM(AB38:AB44)</f>
        <v/>
      </c>
      <c r="AC45" s="246">
        <f>SUM(AC38:AC44)</f>
        <v/>
      </c>
      <c r="AD45" s="246">
        <f>SUM(AD38:AD44)</f>
        <v/>
      </c>
      <c r="AE45" s="246">
        <f>SUM(AE38:AE44)</f>
        <v/>
      </c>
      <c r="AF45" s="246">
        <f>SUM(AF38:AF44)</f>
        <v/>
      </c>
      <c r="AG45" s="246">
        <f>SUM(AG38:AG44)</f>
        <v/>
      </c>
      <c r="AH45" s="246">
        <f>SUM(AH38:AH44)</f>
        <v/>
      </c>
    </row>
    <row r="46" ht="30" customHeight="1" s="447">
      <c r="B46" s="460" t="n"/>
      <c r="C46" s="255" t="inlineStr">
        <is>
          <t>休日・有給</t>
        </is>
      </c>
      <c r="D46" s="246">
        <f>COUNTIF(D$6:D$18,"休")+COUNTIF(D$6:D$18,"希")+COUNTIF(D$6:D$18,"有")</f>
        <v/>
      </c>
      <c r="E46" s="246">
        <f>COUNTIF(E$6:E$18,"休")+COUNTIF(E$6:E$18,"希")+COUNTIF(E$6:E$18,"有")</f>
        <v/>
      </c>
      <c r="F46" s="246">
        <f>COUNTIF(F$6:F$18,"休")+COUNTIF(F$6:F$18,"希")+COUNTIF(F$6:F$18,"有")</f>
        <v/>
      </c>
      <c r="G46" s="246">
        <f>COUNTIF(G$6:G$18,"休")+COUNTIF(G$6:G$18,"希")+COUNTIF(G$6:G$18,"有")</f>
        <v/>
      </c>
      <c r="H46" s="246">
        <f>COUNTIF(H$6:H$18,"休")+COUNTIF(H$6:H$18,"希")+COUNTIF(H$6:H$18,"有")</f>
        <v/>
      </c>
      <c r="I46" s="246">
        <f>COUNTIF(I$6:I$18,"休")+COUNTIF(I$6:I$18,"希")+COUNTIF(I$6:I$18,"有")</f>
        <v/>
      </c>
      <c r="J46" s="246">
        <f>COUNTIF(J$6:J$18,"休")+COUNTIF(J$6:J$18,"希")+COUNTIF(J$6:J$18,"有")</f>
        <v/>
      </c>
      <c r="K46" s="246">
        <f>COUNTIF(K$6:K$18,"休")+COUNTIF(K$6:K$18,"希")+COUNTIF(K$6:K$18,"有")</f>
        <v/>
      </c>
      <c r="L46" s="246">
        <f>COUNTIF(L$6:L$18,"休")+COUNTIF(L$6:L$18,"希")+COUNTIF(L$6:L$18,"有")</f>
        <v/>
      </c>
      <c r="M46" s="246">
        <f>COUNTIF(M$6:M$18,"休")+COUNTIF(M$6:M$18,"希")+COUNTIF(M$6:M$18,"有")</f>
        <v/>
      </c>
      <c r="N46" s="246">
        <f>COUNTIF(N$6:N$18,"休")+COUNTIF(N$6:N$18,"希")+COUNTIF(N$6:N$18,"有")</f>
        <v/>
      </c>
      <c r="O46" s="246">
        <f>COUNTIF(O$6:O$18,"休")+COUNTIF(O$6:O$18,"希")+COUNTIF(O$6:O$18,"有")</f>
        <v/>
      </c>
      <c r="P46" s="246">
        <f>COUNTIF(P$6:P$18,"休")+COUNTIF(P$6:P$18,"希")+COUNTIF(P$6:P$18,"有")</f>
        <v/>
      </c>
      <c r="Q46" s="246">
        <f>COUNTIF(Q$6:Q$18,"休")+COUNTIF(Q$6:Q$18,"希")+COUNTIF(Q$6:Q$18,"有")</f>
        <v/>
      </c>
      <c r="R46" s="246">
        <f>COUNTIF(R$6:R$18,"休")+COUNTIF(R$6:R$18,"希")+COUNTIF(R$6:R$18,"有")</f>
        <v/>
      </c>
      <c r="S46" s="246">
        <f>COUNTIF(S$6:S$18,"休")+COUNTIF(S$6:S$18,"希")+COUNTIF(S$6:S$18,"有")</f>
        <v/>
      </c>
      <c r="T46" s="246">
        <f>COUNTIF(T$6:T$18,"休")+COUNTIF(T$6:T$18,"希")+COUNTIF(T$6:T$18,"有")</f>
        <v/>
      </c>
      <c r="U46" s="246">
        <f>COUNTIF(U$6:U$18,"休")+COUNTIF(U$6:U$18,"希")+COUNTIF(U$6:U$18,"有")</f>
        <v/>
      </c>
      <c r="V46" s="246">
        <f>COUNTIF(V$6:V$18,"休")+COUNTIF(V$6:V$18,"希")+COUNTIF(V$6:V$18,"有")</f>
        <v/>
      </c>
      <c r="W46" s="246">
        <f>COUNTIF(W$6:W$18,"休")+COUNTIF(W$6:W$18,"希")+COUNTIF(W$6:W$18,"有")</f>
        <v/>
      </c>
      <c r="X46" s="246">
        <f>COUNTIF(X$6:X$18,"休")+COUNTIF(X$6:X$18,"希")+COUNTIF(X$6:X$18,"有")</f>
        <v/>
      </c>
      <c r="Y46" s="246">
        <f>COUNTIF(Y$6:Y$18,"休")+COUNTIF(Y$6:Y$18,"希")+COUNTIF(Y$6:Y$18,"有")</f>
        <v/>
      </c>
      <c r="Z46" s="246">
        <f>COUNTIF(Z$6:Z$18,"休")+COUNTIF(Z$6:Z$18,"希")+COUNTIF(Z$6:Z$18,"有")</f>
        <v/>
      </c>
      <c r="AA46" s="246">
        <f>COUNTIF(AA$6:AA$18,"休")+COUNTIF(AA$6:AA$18,"希")+COUNTIF(AA$6:AA$18,"有")</f>
        <v/>
      </c>
      <c r="AB46" s="246">
        <f>COUNTIF(AB$6:AB$18,"休")+COUNTIF(AB$6:AB$18,"希")+COUNTIF(AB$6:AB$18,"有")</f>
        <v/>
      </c>
      <c r="AC46" s="246">
        <f>COUNTIF(AC$6:AC$18,"休")+COUNTIF(AC$6:AC$18,"希")+COUNTIF(AC$6:AC$18,"有")</f>
        <v/>
      </c>
      <c r="AD46" s="246">
        <f>COUNTIF(AD$6:AD$18,"休")+COUNTIF(AD$6:AD$18,"希")+COUNTIF(AD$6:AD$18,"有")</f>
        <v/>
      </c>
      <c r="AE46" s="246">
        <f>COUNTIF(AE$6:AE$18,"休")+COUNTIF(AE$6:AE$18,"希")+COUNTIF(AE$6:AE$18,"有")</f>
        <v/>
      </c>
      <c r="AF46" s="246">
        <f>COUNTIF(AF$6:AF$18,"休")+COUNTIF(AF$6:AF$18,"希")+COUNTIF(AF$6:AF$18,"有")</f>
        <v/>
      </c>
      <c r="AG46" s="246">
        <f>COUNTIF(AG$6:AG$18,"休")+COUNTIF(AG$6:AG$18,"希")+COUNTIF(AG$6:AG$18,"有")</f>
        <v/>
      </c>
      <c r="AH46" s="246">
        <f>COUNTIF(AH$6:AH$18,"休")+COUNTIF(AH$6:AH$18,"希")+COUNTIF(AH$6:AH$18,"有")</f>
        <v/>
      </c>
    </row>
    <row r="47" ht="30" customHeight="1" s="447" thickBot="1">
      <c r="B47" s="461" t="n"/>
      <c r="C47" s="256" t="inlineStr">
        <is>
          <t>シフト成立</t>
        </is>
      </c>
      <c r="D47" s="249">
        <f>IF(AND(D38&gt;=1,D39&gt;=1,D40&gt;=1,D41&gt;=1,D43&gt;=1,D44&gt;=1),"成立",IF(AND(D43&gt;=1,D44&gt;=1,D39&gt;=1,D40&gt;=1,D41&gt;=1),"条件付","不成立"))</f>
        <v/>
      </c>
      <c r="E47" s="249">
        <f>IF(AND(E38&gt;=1,E39&gt;=1,E40&gt;=1,E41&gt;=1,E43&gt;=1,E44&gt;=1),"成立",IF(AND(E43&gt;=1,E44&gt;=1,E39&gt;=1,E40&gt;=1,E41&gt;=1),"条件付","不成立"))</f>
        <v/>
      </c>
      <c r="F47" s="249">
        <f>IF(AND(F38&gt;=1,F39&gt;=1,F40&gt;=1,F41&gt;=1,F43&gt;=1,F44&gt;=1),"成立",IF(AND(F43&gt;=1,F44&gt;=1,F39&gt;=1,F40&gt;=1,F41&gt;=1),"条件付","不成立"))</f>
        <v/>
      </c>
      <c r="G47" s="249">
        <f>IF(AND(G38&gt;=1,G39&gt;=1,G40&gt;=1,G41&gt;=1,G43&gt;=1,G44&gt;=1),"成立",IF(AND(G43&gt;=1,G44&gt;=1,G39&gt;=1,G40&gt;=1,G41&gt;=1),"条件付","不成立"))</f>
        <v/>
      </c>
      <c r="H47" s="249">
        <f>IF(AND(H38&gt;=1,H39&gt;=1,H40&gt;=1,H41&gt;=1,H43&gt;=1,H44&gt;=1),"成立",IF(AND(H43&gt;=1,H44&gt;=1,H39&gt;=1,H40&gt;=1,H41&gt;=1),"条件付","不成立"))</f>
        <v/>
      </c>
      <c r="I47" s="249">
        <f>IF(AND(I38&gt;=1,I39&gt;=1,I40&gt;=1,I41&gt;=1,I43&gt;=1,I44&gt;=1),"成立",IF(AND(I43&gt;=1,I44&gt;=1,I39&gt;=1,I40&gt;=1,I41&gt;=1),"条件付","不成立"))</f>
        <v/>
      </c>
      <c r="J47" s="249">
        <f>IF(AND(J38&gt;=1,J39&gt;=1,J40&gt;=1,J41&gt;=1,J43&gt;=1,J44&gt;=1),"成立",IF(AND(J43&gt;=1,J44&gt;=1,J39&gt;=1,J40&gt;=1,J41&gt;=1),"条件付","不成立"))</f>
        <v/>
      </c>
      <c r="K47" s="249">
        <f>IF(AND(K38&gt;=1,K39&gt;=1,K40&gt;=1,K41&gt;=1,K43&gt;=1,K44&gt;=1),"成立",IF(AND(K43&gt;=1,K44&gt;=1,K39&gt;=1,K40&gt;=1,K41&gt;=1),"条件付","不成立"))</f>
        <v/>
      </c>
      <c r="L47" s="249">
        <f>IF(AND(L38&gt;=1,L39&gt;=1,L40&gt;=1,L41&gt;=1,L43&gt;=1,L44&gt;=1),"成立",IF(AND(L43&gt;=1,L44&gt;=1,L39&gt;=1,L40&gt;=1,L41&gt;=1),"条件付","不成立"))</f>
        <v/>
      </c>
      <c r="M47" s="249">
        <f>IF(AND(M38&gt;=1,M39&gt;=1,M40&gt;=1,M41&gt;=1,M43&gt;=1,M44&gt;=1),"成立",IF(AND(M43&gt;=1,M44&gt;=1,M39&gt;=1,M40&gt;=1,M41&gt;=1),"条件付","不成立"))</f>
        <v/>
      </c>
      <c r="N47" s="249">
        <f>IF(AND(N38&gt;=1,N39&gt;=1,N40&gt;=1,N41&gt;=1,N43&gt;=1,N44&gt;=1),"成立",IF(AND(N43&gt;=1,N44&gt;=1,N39&gt;=1,N40&gt;=1,N41&gt;=1),"条件付","不成立"))</f>
        <v/>
      </c>
      <c r="O47" s="249">
        <f>IF(AND(O38&gt;=1,O39&gt;=1,O40&gt;=1,O41&gt;=1,O43&gt;=1,O44&gt;=1),"成立",IF(AND(O43&gt;=1,O44&gt;=1,O39&gt;=1,O40&gt;=1,O41&gt;=1),"条件付","不成立"))</f>
        <v/>
      </c>
      <c r="P47" s="249">
        <f>IF(AND(P38&gt;=1,P39&gt;=1,P40&gt;=1,P41&gt;=1,P43&gt;=1,P44&gt;=1),"成立",IF(AND(P43&gt;=1,P44&gt;=1,P39&gt;=1,P40&gt;=1,P41&gt;=1),"条件付","不成立"))</f>
        <v/>
      </c>
      <c r="Q47" s="249">
        <f>IF(AND(Q38&gt;=1,Q39&gt;=1,Q40&gt;=1,Q41&gt;=1,Q43&gt;=1,Q44&gt;=1),"成立",IF(AND(Q43&gt;=1,Q44&gt;=1,Q39&gt;=1,Q40&gt;=1,Q41&gt;=1),"条件付","不成立"))</f>
        <v/>
      </c>
      <c r="R47" s="249">
        <f>IF(AND(R38&gt;=1,R39&gt;=1,R40&gt;=1,R41&gt;=1,R43&gt;=1,R44&gt;=1),"成立",IF(AND(R43&gt;=1,R44&gt;=1,R39&gt;=1,R40&gt;=1,R41&gt;=1),"条件付","不成立"))</f>
        <v/>
      </c>
      <c r="S47" s="249">
        <f>IF(AND(S38&gt;=1,S39&gt;=1,S40&gt;=1,S41&gt;=1,S43&gt;=1,S44&gt;=1),"成立",IF(AND(S43&gt;=1,S44&gt;=1,S39&gt;=1,S40&gt;=1,S41&gt;=1),"条件付","不成立"))</f>
        <v/>
      </c>
      <c r="T47" s="249">
        <f>IF(AND(T38&gt;=1,T39&gt;=1,T40&gt;=1,T41&gt;=1,T43&gt;=1,T44&gt;=1),"成立",IF(AND(T43&gt;=1,T44&gt;=1,T39&gt;=1,T40&gt;=1,T41&gt;=1),"条件付","不成立"))</f>
        <v/>
      </c>
      <c r="U47" s="249">
        <f>IF(AND(U38&gt;=1,U39&gt;=1,U40&gt;=1,U41&gt;=1,U43&gt;=1,U44&gt;=1),"成立",IF(AND(U43&gt;=1,U44&gt;=1,U39&gt;=1,U40&gt;=1,U41&gt;=1),"条件付","不成立"))</f>
        <v/>
      </c>
      <c r="V47" s="249">
        <f>IF(AND(V38&gt;=1,V39&gt;=1,V40&gt;=1,V41&gt;=1,V43&gt;=1,V44&gt;=1),"成立",IF(AND(V43&gt;=1,V44&gt;=1,V39&gt;=1,V40&gt;=1,V41&gt;=1),"条件付","不成立"))</f>
        <v/>
      </c>
      <c r="W47" s="249">
        <f>IF(AND(W38&gt;=1,W39&gt;=1,W40&gt;=1,W41&gt;=1,W43&gt;=1,W44&gt;=1),"成立",IF(AND(W43&gt;=1,W44&gt;=1,W39&gt;=1,W40&gt;=1,W41&gt;=1),"条件付","不成立"))</f>
        <v/>
      </c>
      <c r="X47" s="249">
        <f>IF(AND(X38&gt;=1,X39&gt;=1,X40&gt;=1,X41&gt;=1,X43&gt;=1,X44&gt;=1),"成立",IF(AND(X43&gt;=1,X44&gt;=1,X39&gt;=1,X40&gt;=1,X41&gt;=1),"条件付","不成立"))</f>
        <v/>
      </c>
      <c r="Y47" s="249">
        <f>IF(AND(Y38&gt;=1,Y39&gt;=1,Y40&gt;=1,Y41&gt;=1,Y43&gt;=1,Y44&gt;=1),"成立",IF(AND(Y43&gt;=1,Y44&gt;=1,Y39&gt;=1,Y40&gt;=1,Y41&gt;=1),"条件付","不成立"))</f>
        <v/>
      </c>
      <c r="Z47" s="249">
        <f>IF(AND(Z38&gt;=1,Z39&gt;=1,Z40&gt;=1,Z41&gt;=1,Z43&gt;=1,Z44&gt;=1),"成立",IF(AND(Z43&gt;=1,Z44&gt;=1,Z39&gt;=1,Z40&gt;=1,Z41&gt;=1),"条件付","不成立"))</f>
        <v/>
      </c>
      <c r="AA47" s="249">
        <f>IF(AND(AA38&gt;=1,AA39&gt;=1,AA40&gt;=1,AA41&gt;=1,AA43&gt;=1,AA44&gt;=1),"成立",IF(AND(AA43&gt;=1,AA44&gt;=1,AA39&gt;=1,AA40&gt;=1,AA41&gt;=1),"条件付","不成立"))</f>
        <v/>
      </c>
      <c r="AB47" s="249">
        <f>IF(AND(AB38&gt;=1,AB39&gt;=1,AB40&gt;=1,AB41&gt;=1,AB43&gt;=1,AB44&gt;=1),"成立",IF(AND(AB43&gt;=1,AB44&gt;=1,AB39&gt;=1,AB40&gt;=1,AB41&gt;=1),"条件付","不成立"))</f>
        <v/>
      </c>
      <c r="AC47" s="249">
        <f>IF(AND(AC38&gt;=1,AC39&gt;=1,AC40&gt;=1,AC41&gt;=1,AC43&gt;=1,AC44&gt;=1),"成立",IF(AND(AC43&gt;=1,AC44&gt;=1,AC39&gt;=1,AC40&gt;=1,AC41&gt;=1),"条件付","不成立"))</f>
        <v/>
      </c>
      <c r="AD47" s="249">
        <f>IF(AND(AD38&gt;=1,AD39&gt;=1,AD40&gt;=1,AD41&gt;=1,AD43&gt;=1,AD44&gt;=1),"成立",IF(AND(AD43&gt;=1,AD44&gt;=1,AD39&gt;=1,AD40&gt;=1,AD41&gt;=1),"条件付","不成立"))</f>
        <v/>
      </c>
      <c r="AE47" s="249">
        <f>IF(AND(AE38&gt;=1,AE39&gt;=1,AE40&gt;=1,AE41&gt;=1,AE43&gt;=1,AE44&gt;=1),"成立",IF(AND(AE43&gt;=1,AE44&gt;=1,AE39&gt;=1,AE40&gt;=1,AE41&gt;=1),"条件付","不成立"))</f>
        <v/>
      </c>
      <c r="AF47" s="249">
        <f>IF(AND(AF38&gt;=1,AF39&gt;=1,AF40&gt;=1,AF41&gt;=1,AF43&gt;=1,AF44&gt;=1),"成立",IF(AND(AF43&gt;=1,AF44&gt;=1,AF39&gt;=1,AF40&gt;=1,AF41&gt;=1),"条件付","不成立"))</f>
        <v/>
      </c>
      <c r="AG47" s="249">
        <f>IF(AND(AG38&gt;=1,AG39&gt;=1,AG40&gt;=1,AG41&gt;=1,AG43&gt;=1,AG44&gt;=1),"成立",IF(AND(AG43&gt;=1,AG44&gt;=1,AG39&gt;=1,AG40&gt;=1,AG41&gt;=1),"条件付","不成立"))</f>
        <v/>
      </c>
      <c r="AH47" s="249">
        <f>IF(AND(AH38&gt;=1,AH39&gt;=1,AH40&gt;=1,AH41&gt;=1,AH43&gt;=1,AH44&gt;=1),"成立",IF(AND(AH43&gt;=1,AH44&gt;=1,AH39&gt;=1,AH40&gt;=1,AH41&gt;=1),"条件付","不成立"))</f>
        <v/>
      </c>
    </row>
    <row r="48" ht="29.25" customHeight="1" s="447"/>
    <row r="49" ht="29.25" customHeight="1" s="447"/>
    <row r="50" ht="29.25" customHeight="1" s="447" thickBot="1"/>
    <row r="51" ht="29.25" customHeight="1" s="447" thickBot="1">
      <c r="D51" s="462" t="inlineStr">
        <is>
          <t>シフト表</t>
        </is>
      </c>
      <c r="E51" s="463" t="n"/>
      <c r="F51" s="463" t="n"/>
      <c r="G51" s="463" t="n"/>
      <c r="H51" s="463" t="n"/>
      <c r="I51" s="464" t="n"/>
      <c r="M51" s="465" t="inlineStr">
        <is>
          <t>推奨シフト</t>
        </is>
      </c>
      <c r="N51" s="463" t="n"/>
      <c r="O51" s="463" t="n"/>
      <c r="P51" s="463" t="n"/>
      <c r="Q51" s="463" t="n"/>
      <c r="R51" s="463" t="n"/>
      <c r="S51" s="464" t="n"/>
    </row>
    <row r="52" ht="29.25" customHeight="1" s="447" thickTop="1">
      <c r="D52" s="263" t="inlineStr">
        <is>
          <t>A</t>
        </is>
      </c>
      <c r="E52" s="351" t="n">
        <v>0.3958333333333333</v>
      </c>
      <c r="F52" s="466" t="n"/>
      <c r="G52" s="264" t="inlineStr">
        <is>
          <t>〜</t>
        </is>
      </c>
      <c r="H52" s="355" t="n">
        <v>0.7291666666666666</v>
      </c>
      <c r="I52" s="467" t="n"/>
      <c r="M52" s="468" t="inlineStr">
        <is>
          <t>推奨シフト</t>
        </is>
      </c>
      <c r="N52" s="466" t="n"/>
      <c r="O52" s="469" t="n"/>
      <c r="P52" s="470" t="inlineStr">
        <is>
          <t>夜勤</t>
        </is>
      </c>
      <c r="Q52" s="469" t="n"/>
      <c r="R52" s="267" t="inlineStr">
        <is>
          <t>D</t>
        </is>
      </c>
      <c r="S52" s="268" t="inlineStr">
        <is>
          <t>C</t>
        </is>
      </c>
    </row>
    <row r="53" ht="29.25" customHeight="1" s="447">
      <c r="D53" s="261" t="inlineStr">
        <is>
          <t>B</t>
        </is>
      </c>
      <c r="E53" s="353" t="n">
        <v>0.3125</v>
      </c>
      <c r="F53" s="471" t="n"/>
      <c r="G53" s="259" t="inlineStr">
        <is>
          <t>〜</t>
        </is>
      </c>
      <c r="H53" s="356" t="n">
        <v>0.6458333333333334</v>
      </c>
      <c r="I53" s="472" t="n"/>
      <c r="M53" s="473" t="inlineStr">
        <is>
          <t>推奨シフト</t>
        </is>
      </c>
      <c r="N53" s="471" t="n"/>
      <c r="O53" s="474" t="n"/>
      <c r="P53" s="385" t="inlineStr">
        <is>
          <t>夜勤</t>
        </is>
      </c>
      <c r="Q53" s="474" t="n"/>
      <c r="R53" s="385" t="inlineStr">
        <is>
          <t>B</t>
        </is>
      </c>
      <c r="S53" s="269" t="inlineStr">
        <is>
          <t>C</t>
        </is>
      </c>
    </row>
    <row r="54" ht="29.25" customHeight="1" s="447">
      <c r="D54" s="261" t="inlineStr">
        <is>
          <t>C</t>
        </is>
      </c>
      <c r="E54" s="381" t="n">
        <v>0.5208333333333334</v>
      </c>
      <c r="F54" s="474" t="n"/>
      <c r="G54" s="259" t="inlineStr">
        <is>
          <t>〜</t>
        </is>
      </c>
      <c r="H54" s="387" t="n">
        <v>0.8541666666666666</v>
      </c>
      <c r="I54" s="474" t="n"/>
      <c r="M54" s="344" t="inlineStr">
        <is>
          <t>A30分早出or
夜勤30分残業</t>
        </is>
      </c>
      <c r="N54" s="471" t="n"/>
      <c r="O54" s="474" t="n"/>
      <c r="P54" s="385" t="inlineStr">
        <is>
          <t>夜勤</t>
        </is>
      </c>
      <c r="Q54" s="474" t="n"/>
      <c r="R54" s="385" t="inlineStr">
        <is>
          <t>A</t>
        </is>
      </c>
      <c r="S54" s="269" t="inlineStr">
        <is>
          <t>C</t>
        </is>
      </c>
    </row>
    <row r="55" ht="29.25" customHeight="1" s="447">
      <c r="D55" s="261" t="inlineStr">
        <is>
          <t>D</t>
        </is>
      </c>
      <c r="E55" s="381" t="n">
        <v>0.3541666666666667</v>
      </c>
      <c r="F55" s="474" t="n"/>
      <c r="G55" s="259" t="inlineStr">
        <is>
          <t>〜</t>
        </is>
      </c>
      <c r="H55" s="387" t="n">
        <v>0.6875</v>
      </c>
      <c r="I55" s="474" t="n"/>
      <c r="J55" s="245" t="n"/>
      <c r="K55" s="245" t="n"/>
      <c r="L55" s="245" t="n"/>
      <c r="M55" s="344" t="inlineStr">
        <is>
          <t>A30分早出or
夜勤30分残業</t>
        </is>
      </c>
      <c r="N55" s="471" t="n"/>
      <c r="O55" s="474" t="n"/>
      <c r="P55" s="385" t="inlineStr">
        <is>
          <t>夜勤</t>
        </is>
      </c>
      <c r="Q55" s="474" t="n"/>
      <c r="R55" s="385" t="inlineStr">
        <is>
          <t>A</t>
        </is>
      </c>
      <c r="S55" s="270" t="n"/>
    </row>
    <row r="56" ht="29.25" customHeight="1" s="447" thickBot="1">
      <c r="D56" s="262" t="inlineStr">
        <is>
          <t>夜勤</t>
        </is>
      </c>
      <c r="E56" s="383" t="n">
        <v>0.7083333333333334</v>
      </c>
      <c r="F56" s="479" t="n"/>
      <c r="G56" s="260" t="inlineStr">
        <is>
          <t>〜</t>
        </is>
      </c>
      <c r="H56" s="389" t="n">
        <v>0.375</v>
      </c>
      <c r="I56" s="479" t="n"/>
      <c r="J56" s="245" t="n"/>
      <c r="K56" s="245" t="n"/>
      <c r="L56" s="245" t="n"/>
      <c r="M56" s="367" t="inlineStr">
        <is>
          <t>D30分残業</t>
        </is>
      </c>
      <c r="N56" s="482" t="n"/>
      <c r="O56" s="479" t="n"/>
      <c r="P56" s="369" t="inlineStr">
        <is>
          <t>夜勤</t>
        </is>
      </c>
      <c r="Q56" s="479" t="n"/>
      <c r="R56" s="369" t="inlineStr">
        <is>
          <t>D</t>
        </is>
      </c>
      <c r="S56" s="271" t="n"/>
    </row>
    <row r="57" ht="29.25" customHeight="1" s="447">
      <c r="J57" s="245" t="n"/>
      <c r="K57" s="245" t="n"/>
      <c r="L57" s="245" t="n"/>
    </row>
    <row r="58" ht="29.25" customHeight="1" s="447">
      <c r="J58" s="245" t="n"/>
      <c r="K58" s="245" t="n"/>
      <c r="L58" s="245" t="n"/>
    </row>
    <row r="59" ht="29.25" customHeight="1" s="447">
      <c r="J59" s="245" t="n"/>
      <c r="K59" s="245" t="n"/>
      <c r="L59" s="245" t="n"/>
    </row>
    <row r="60" ht="29.25" customHeight="1" s="447">
      <c r="D60" s="245" t="n"/>
      <c r="E60" s="245" t="n"/>
      <c r="F60" s="245" t="n"/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58" t="n"/>
    </row>
    <row r="61" ht="29.25" customHeight="1" s="447">
      <c r="L61" s="245" t="n"/>
      <c r="M61" s="245" t="n"/>
      <c r="N61" s="245" t="n"/>
      <c r="O61" s="258" t="n"/>
    </row>
    <row r="62" ht="29.25" customHeight="1" s="447">
      <c r="L62" s="258" t="n"/>
      <c r="M62" s="258" t="n"/>
      <c r="N62" s="258" t="n"/>
      <c r="O62" s="258" t="n"/>
    </row>
    <row r="63" ht="29.25" customHeight="1" s="447"/>
    <row r="64" ht="29.25" customHeight="1" s="447"/>
    <row r="65" ht="29.25" customHeight="1" s="447"/>
    <row r="66" ht="29.25" customHeight="1" s="447"/>
    <row r="67" ht="29.25" customHeight="1" s="447"/>
    <row r="68" ht="29.25" customHeight="1" s="447"/>
    <row r="69" ht="29.25" customHeight="1" s="447"/>
    <row r="70" ht="29.25" customHeight="1" s="447"/>
    <row r="71" ht="29.25" customHeight="1" s="447"/>
    <row r="72" ht="29.25" customHeight="1" s="447"/>
    <row r="73" ht="29.25" customHeight="1" s="447"/>
    <row r="74" ht="29.25" customHeight="1" s="447"/>
    <row r="75" ht="29.25" customHeight="1" s="447"/>
    <row r="76" ht="29.25" customHeight="1" s="447"/>
    <row r="77" ht="29.25" customHeight="1" s="447"/>
    <row r="78" ht="29.25" customHeight="1" s="447"/>
    <row r="79" ht="29.25" customHeight="1" s="447"/>
    <row r="80" ht="29.25" customHeight="1" s="447"/>
    <row r="81" ht="29.25" customHeight="1" s="447"/>
    <row r="82" ht="29.25" customHeight="1" s="447"/>
    <row r="83" ht="29.25" customHeight="1" s="447"/>
    <row r="84" ht="29.25" customHeight="1" s="447"/>
    <row r="85" ht="29.25" customHeight="1" s="447"/>
    <row r="86" ht="29.25" customHeight="1" s="447"/>
    <row r="87" ht="29.25" customHeight="1" s="447"/>
    <row r="88" ht="29.25" customHeight="1" s="447"/>
    <row r="89" ht="29.25" customHeight="1" s="447"/>
    <row r="90" ht="29.25" customHeight="1" s="447"/>
    <row r="91" ht="29.25" customHeight="1" s="447"/>
    <row r="92" ht="29.25" customHeight="1" s="447"/>
    <row r="93" ht="29.25" customHeight="1" s="447"/>
    <row r="94" ht="29.25" customHeight="1" s="447"/>
    <row r="95" ht="29.25" customHeight="1" s="447"/>
    <row r="96" ht="29.25" customHeight="1" s="447"/>
    <row r="97" ht="29.25" customHeight="1" s="447"/>
    <row r="98" ht="29.25" customHeight="1" s="447"/>
    <row r="99" ht="29.25" customHeight="1" s="447"/>
    <row r="100" ht="29.25" customHeight="1" s="447"/>
    <row r="101" ht="29.25" customHeight="1" s="447"/>
    <row r="102" ht="29.25" customHeight="1" s="447"/>
    <row r="103" ht="29.25" customHeight="1" s="447"/>
    <row r="104" ht="29.25" customHeight="1" s="447"/>
  </sheetData>
  <mergeCells count="28">
    <mergeCell ref="H53:I53"/>
    <mergeCell ref="M54:O54"/>
    <mergeCell ref="E55:F55"/>
    <mergeCell ref="H54:I54"/>
    <mergeCell ref="E52:F52"/>
    <mergeCell ref="H55:I55"/>
    <mergeCell ref="H56:I56"/>
    <mergeCell ref="P56:Q56"/>
    <mergeCell ref="P52:Q52"/>
    <mergeCell ref="I2:L2"/>
    <mergeCell ref="H52:I52"/>
    <mergeCell ref="B4:C5"/>
    <mergeCell ref="D51:I51"/>
    <mergeCell ref="M56:O56"/>
    <mergeCell ref="M53:O53"/>
    <mergeCell ref="B38:B47"/>
    <mergeCell ref="M51:S51"/>
    <mergeCell ref="D2:G2"/>
    <mergeCell ref="P53:Q53"/>
    <mergeCell ref="M55:O55"/>
    <mergeCell ref="E54:F54"/>
    <mergeCell ref="P54:Q54"/>
    <mergeCell ref="AA3:AH3"/>
    <mergeCell ref="M52:O52"/>
    <mergeCell ref="E53:F53"/>
    <mergeCell ref="B27:B35"/>
    <mergeCell ref="E56:F56"/>
    <mergeCell ref="P55:Q55"/>
  </mergeCells>
  <conditionalFormatting sqref="D5:AH5">
    <cfRule type="containsText" priority="69" operator="containsText" dxfId="58" text="土">
      <formula>NOT(ISERROR(SEARCH("土",D5)))</formula>
    </cfRule>
    <cfRule type="containsText" priority="70" operator="containsText" dxfId="57" text="日">
      <formula>NOT(ISERROR(SEARCH("日",D5)))</formula>
    </cfRule>
  </conditionalFormatting>
  <conditionalFormatting sqref="D6:AH19">
    <cfRule type="containsText" priority="56" operator="containsText" dxfId="13" text="A">
      <formula>NOT(ISERROR(SEARCH("A",D6)))</formula>
    </cfRule>
    <cfRule type="containsText" priority="57" operator="containsText" dxfId="93" text="B">
      <formula>NOT(ISERROR(SEARCH("B",D6)))</formula>
    </cfRule>
    <cfRule type="containsText" priority="58" operator="containsText" dxfId="10" text="C">
      <formula>NOT(ISERROR(SEARCH("C",D6)))</formula>
    </cfRule>
    <cfRule type="containsText" priority="59" operator="containsText" dxfId="1" text="D">
      <formula>NOT(ISERROR(SEARCH("D",D6)))</formula>
    </cfRule>
    <cfRule type="containsText" priority="60" operator="containsText" dxfId="13" text="E">
      <formula>NOT(ISERROR(SEARCH("E",D6)))</formula>
    </cfRule>
    <cfRule type="containsText" priority="61" operator="containsText" dxfId="89" text="夜">
      <formula>NOT(ISERROR(SEARCH("夜",D6)))</formula>
    </cfRule>
    <cfRule type="containsText" priority="62" operator="containsText" dxfId="88" text="明">
      <formula>NOT(ISERROR(SEARCH("明",D6)))</formula>
    </cfRule>
    <cfRule type="containsText" priority="63" operator="containsText" dxfId="32" text="希">
      <formula>NOT(ISERROR(SEARCH("希",D6)))</formula>
    </cfRule>
  </conditionalFormatting>
  <conditionalFormatting sqref="D6:AH25">
    <cfRule type="containsText" priority="55" operator="containsText" dxfId="81" text="健">
      <formula>NOT(ISERROR(SEARCH("健",D6)))</formula>
    </cfRule>
    <cfRule type="containsText" priority="64" operator="containsText" dxfId="4" text="休">
      <formula>NOT(ISERROR(SEARCH("休",D6)))</formula>
    </cfRule>
    <cfRule type="containsText" priority="65" operator="containsText" dxfId="84" text="有">
      <formula>NOT(ISERROR(SEARCH("有",D6)))</formula>
    </cfRule>
    <cfRule type="containsText" priority="66" operator="containsText" dxfId="10" text="調1">
      <formula>NOT(ISERROR(SEARCH("調1",D6)))</formula>
    </cfRule>
    <cfRule type="containsText" priority="67" operator="containsText" dxfId="13" text="調2">
      <formula>NOT(ISERROR(SEARCH("調2",D6)))</formula>
    </cfRule>
    <cfRule type="containsText" priority="68" operator="containsText" dxfId="81" text="研">
      <formula>NOT(ISERROR(SEARCH("研",D6)))</formula>
    </cfRule>
  </conditionalFormatting>
  <conditionalFormatting sqref="D27:AH32">
    <cfRule type="cellIs" priority="77" operator="equal" dxfId="25">
      <formula>0</formula>
    </cfRule>
  </conditionalFormatting>
  <conditionalFormatting sqref="D34:AH34">
    <cfRule type="cellIs" priority="76" operator="equal" dxfId="25">
      <formula>0</formula>
    </cfRule>
  </conditionalFormatting>
  <conditionalFormatting sqref="D35:AH35">
    <cfRule type="containsText" priority="1" operator="containsText" dxfId="23" text="30分残業">
      <formula>NOT(ISERROR(SEARCH("30分残業",D35)))</formula>
    </cfRule>
    <cfRule type="containsText" priority="2" operator="containsText" dxfId="28" text="不成立">
      <formula>NOT(ISERROR(SEARCH("不成立",D35)))</formula>
    </cfRule>
  </conditionalFormatting>
  <conditionalFormatting sqref="D38:AH45">
    <cfRule type="cellIs" priority="79" operator="equal" dxfId="25">
      <formula>0</formula>
    </cfRule>
  </conditionalFormatting>
  <conditionalFormatting sqref="D47:AH47">
    <cfRule type="containsText" priority="72" operator="containsText" dxfId="23" text="条件付">
      <formula>NOT(ISERROR(SEARCH("条件付",D47)))</formula>
    </cfRule>
    <cfRule type="containsText" priority="73" operator="containsText" dxfId="74" text="不成立">
      <formula>NOT(ISERROR(SEARCH("不成立",D47)))</formula>
    </cfRule>
    <cfRule type="cellIs" priority="78" operator="equal" dxfId="25">
      <formula>0</formula>
    </cfRule>
  </conditionalFormatting>
  <conditionalFormatting sqref="AX6:AX26">
    <cfRule type="containsText" priority="71" operator="containsText" dxfId="0" text="NG">
      <formula>NOT(ISERROR(SEARCH("NG",AX6)))</formula>
    </cfRule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AY64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14" sqref="D14"/>
    </sheetView>
  </sheetViews>
  <sheetFormatPr baseColWidth="10" defaultColWidth="9" defaultRowHeight="14"/>
  <cols>
    <col width="4.1640625" customWidth="1" style="1" min="1" max="1"/>
    <col width="16.83203125" customWidth="1" style="1" min="2" max="2"/>
    <col width="14.33203125" customWidth="1" style="1" min="3" max="3"/>
    <col width="20" customWidth="1" style="1" min="4" max="4"/>
    <col width="4.6640625" customWidth="1" style="1" min="5" max="14"/>
    <col width="4.5" customWidth="1" style="1" min="15" max="15"/>
    <col width="4.6640625" customWidth="1" style="1" min="16" max="35"/>
    <col width="3.6640625" customWidth="1" style="1" min="36" max="36"/>
    <col width="8.33203125" customWidth="1" style="1" min="37" max="37"/>
    <col width="8.6640625" customWidth="1" style="1" min="38" max="44"/>
    <col width="8.33203125" customWidth="1" style="1" min="45" max="45"/>
    <col width="8" customWidth="1" style="1" min="46" max="46"/>
    <col width="8.33203125" customWidth="1" style="1" min="47" max="47"/>
    <col width="8.6640625" customWidth="1" style="1" min="48" max="48"/>
    <col width="10.33203125" customWidth="1" style="1" min="49" max="49"/>
    <col width="14.1640625" customWidth="1" style="1" min="50" max="50"/>
    <col width="11" customWidth="1" style="1" min="51" max="51"/>
    <col width="9" customWidth="1" style="1" min="52" max="16384"/>
  </cols>
  <sheetData>
    <row r="1" ht="15" customHeight="1" s="44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5" t="n"/>
      <c r="O1" s="5" t="n"/>
      <c r="P1" s="5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</row>
    <row r="2" ht="25" customHeight="1" s="447" thickBot="1">
      <c r="A2" s="5" t="n"/>
      <c r="B2" s="109" t="inlineStr">
        <is>
          <t>【結果】</t>
        </is>
      </c>
      <c r="C2" s="109" t="n"/>
      <c r="D2" s="65" t="inlineStr">
        <is>
          <t>シフト表</t>
        </is>
      </c>
      <c r="E2" s="409">
        <f>入力フォーム!G2</f>
        <v/>
      </c>
      <c r="I2" s="63" t="inlineStr">
        <is>
          <t>〜</t>
        </is>
      </c>
      <c r="J2" s="483">
        <f>EOMONTH(E2,0)</f>
        <v/>
      </c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  <c r="Z2" s="63" t="n"/>
      <c r="AA2" s="63" t="n"/>
      <c r="AB2" s="63" t="n"/>
      <c r="AC2" s="63" t="n"/>
      <c r="AD2" s="63" t="n"/>
      <c r="AE2" s="63" t="n"/>
      <c r="AF2" s="63" t="n"/>
      <c r="AG2" s="63" t="n"/>
      <c r="AH2" s="63" t="n"/>
      <c r="AI2" s="63" t="n"/>
      <c r="AJ2" s="5" t="n"/>
      <c r="AK2" s="5" t="n"/>
      <c r="AL2" s="108" t="n"/>
      <c r="AM2" s="108" t="n"/>
      <c r="AN2" s="129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</row>
    <row r="3" ht="25.5" customHeight="1" s="447" thickBot="1">
      <c r="A3" s="5" t="n"/>
      <c r="B3" s="5" t="n"/>
      <c r="C3" s="5" t="n"/>
      <c r="D3" s="42" t="n"/>
      <c r="E3" s="6" t="n"/>
      <c r="F3" s="7" t="n"/>
      <c r="G3" s="5" t="n"/>
      <c r="H3" s="7" t="n"/>
      <c r="I3" s="7" t="n"/>
      <c r="J3" s="7" t="n"/>
      <c r="K3" s="7" t="n"/>
      <c r="L3" s="8" t="n"/>
      <c r="M3" s="9" t="n"/>
      <c r="N3" s="10" t="n"/>
      <c r="O3" s="11" t="n"/>
      <c r="P3" s="11" t="n"/>
      <c r="Q3" s="11" t="n"/>
      <c r="R3" s="11" t="n"/>
      <c r="S3" s="11" t="n"/>
      <c r="T3" s="11" t="n"/>
      <c r="U3" s="10" t="n"/>
      <c r="V3" s="10" t="n"/>
      <c r="W3" s="81" t="inlineStr">
        <is>
          <t>はあとふる</t>
        </is>
      </c>
      <c r="X3" s="10" t="n"/>
      <c r="Y3" s="10" t="n"/>
      <c r="Z3" s="11" t="n"/>
      <c r="AA3" s="11" t="n"/>
      <c r="AB3" s="411" t="n"/>
      <c r="AC3" s="449" t="n"/>
      <c r="AD3" s="449" t="n"/>
      <c r="AE3" s="449" t="n"/>
      <c r="AF3" s="449" t="n"/>
      <c r="AG3" s="449" t="n"/>
      <c r="AH3" s="449" t="n"/>
      <c r="AI3" s="449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131">
        <f>MONTH(E2)</f>
        <v/>
      </c>
    </row>
    <row r="4" ht="27.75" customHeight="1" s="447">
      <c r="A4" s="13" t="n"/>
      <c r="B4" s="484" t="n"/>
      <c r="C4" s="478" t="n"/>
      <c r="D4" s="451" t="n"/>
      <c r="E4" s="485">
        <f>E2</f>
        <v/>
      </c>
      <c r="F4" s="486">
        <f>E4+1</f>
        <v/>
      </c>
      <c r="G4" s="486">
        <f>F4+1</f>
        <v/>
      </c>
      <c r="H4" s="486">
        <f>G4+1</f>
        <v/>
      </c>
      <c r="I4" s="486">
        <f>H4+1</f>
        <v/>
      </c>
      <c r="J4" s="486">
        <f>I4+1</f>
        <v/>
      </c>
      <c r="K4" s="486">
        <f>J4+1</f>
        <v/>
      </c>
      <c r="L4" s="486">
        <f>K4+1</f>
        <v/>
      </c>
      <c r="M4" s="486">
        <f>L4+1</f>
        <v/>
      </c>
      <c r="N4" s="486">
        <f>M4+1</f>
        <v/>
      </c>
      <c r="O4" s="486">
        <f>N4+1</f>
        <v/>
      </c>
      <c r="P4" s="486">
        <f>O4+1</f>
        <v/>
      </c>
      <c r="Q4" s="486">
        <f>P4+1</f>
        <v/>
      </c>
      <c r="R4" s="486">
        <f>Q4+1</f>
        <v/>
      </c>
      <c r="S4" s="486">
        <f>R4+1</f>
        <v/>
      </c>
      <c r="T4" s="486">
        <f>S4+1</f>
        <v/>
      </c>
      <c r="U4" s="486">
        <f>T4+1</f>
        <v/>
      </c>
      <c r="V4" s="486">
        <f>U4+1</f>
        <v/>
      </c>
      <c r="W4" s="486">
        <f>V4+1</f>
        <v/>
      </c>
      <c r="X4" s="486">
        <f>W4+1</f>
        <v/>
      </c>
      <c r="Y4" s="487">
        <f>X4+1</f>
        <v/>
      </c>
      <c r="Z4" s="486">
        <f>Y4+1</f>
        <v/>
      </c>
      <c r="AA4" s="486">
        <f>Z4+1</f>
        <v/>
      </c>
      <c r="AB4" s="486">
        <f>AA4+1</f>
        <v/>
      </c>
      <c r="AC4" s="487">
        <f>AB4+1</f>
        <v/>
      </c>
      <c r="AD4" s="488">
        <f>AC4+1</f>
        <v/>
      </c>
      <c r="AE4" s="486">
        <f>AD4+1</f>
        <v/>
      </c>
      <c r="AF4" s="486">
        <f>AE4+1</f>
        <v/>
      </c>
      <c r="AG4" s="486">
        <f>AF4+1</f>
        <v/>
      </c>
      <c r="AH4" s="487">
        <f>AG4+1</f>
        <v/>
      </c>
      <c r="AI4" s="489">
        <f>AH4+1</f>
        <v/>
      </c>
      <c r="AJ4" s="12" t="n"/>
      <c r="AK4" s="5" t="n"/>
      <c r="AL4" s="14" t="n"/>
      <c r="AM4" s="14" t="n"/>
      <c r="AN4" s="14" t="n"/>
      <c r="AO4" s="14" t="n"/>
      <c r="AP4" s="14" t="n"/>
      <c r="AQ4" s="14" t="n"/>
      <c r="AR4" s="14" t="n"/>
      <c r="AS4" s="5" t="n"/>
      <c r="AT4" s="5" t="n"/>
      <c r="AU4" s="5" t="n"/>
      <c r="AV4" s="14" t="n"/>
      <c r="AW4" s="14" t="n"/>
      <c r="AX4" s="14" t="n"/>
      <c r="AY4" s="5" t="n"/>
    </row>
    <row r="5" ht="27.75" customHeight="1" s="447" thickBot="1">
      <c r="A5" s="28" t="n"/>
      <c r="B5" s="458" t="n"/>
      <c r="C5" s="449" t="n"/>
      <c r="D5" s="459" t="n"/>
      <c r="E5" s="36">
        <f>TEXT(E4,"aaa")</f>
        <v/>
      </c>
      <c r="F5" s="3">
        <f>TEXT(F4,"aaa")</f>
        <v/>
      </c>
      <c r="G5" s="3">
        <f>TEXT(G4,"aaa")</f>
        <v/>
      </c>
      <c r="H5" s="3">
        <f>TEXT(H4,"aaa")</f>
        <v/>
      </c>
      <c r="I5" s="3">
        <f>TEXT(I4,"aaa")</f>
        <v/>
      </c>
      <c r="J5" s="3">
        <f>TEXT(J4,"aaa")</f>
        <v/>
      </c>
      <c r="K5" s="3">
        <f>TEXT(K4,"aaa")</f>
        <v/>
      </c>
      <c r="L5" s="3">
        <f>TEXT(L4,"aaa")</f>
        <v/>
      </c>
      <c r="M5" s="3">
        <f>TEXT(M4,"aaa")</f>
        <v/>
      </c>
      <c r="N5" s="3">
        <f>TEXT(N4,"aaa")</f>
        <v/>
      </c>
      <c r="O5" s="92">
        <f>TEXT(O4,"aaa")</f>
        <v/>
      </c>
      <c r="P5" s="3">
        <f>TEXT(P4,"aaa")</f>
        <v/>
      </c>
      <c r="Q5" s="3">
        <f>TEXT(Q4,"aaa")</f>
        <v/>
      </c>
      <c r="R5" s="3">
        <f>TEXT(R4,"aaa")</f>
        <v/>
      </c>
      <c r="S5" s="96">
        <f>TEXT(S4,"aaa")</f>
        <v/>
      </c>
      <c r="T5" s="3">
        <f>TEXT(T4,"aaa")</f>
        <v/>
      </c>
      <c r="U5" s="3">
        <f>TEXT(U4,"aaa")</f>
        <v/>
      </c>
      <c r="V5" s="3">
        <f>TEXT(V4,"aaa")</f>
        <v/>
      </c>
      <c r="W5" s="3">
        <f>TEXT(W4,"aaa")</f>
        <v/>
      </c>
      <c r="X5" s="3">
        <f>TEXT(X4,"aaa")</f>
        <v/>
      </c>
      <c r="Y5" s="3">
        <f>TEXT(Y4,"aaa")</f>
        <v/>
      </c>
      <c r="Z5" s="3">
        <f>TEXT(Z4,"aaa")</f>
        <v/>
      </c>
      <c r="AA5" s="96">
        <f>TEXT(AA4,"aaa")</f>
        <v/>
      </c>
      <c r="AB5" s="3">
        <f>TEXT(AB4,"aaa")</f>
        <v/>
      </c>
      <c r="AC5" s="3">
        <f>TEXT(AC4,"aaa")</f>
        <v/>
      </c>
      <c r="AD5" s="3">
        <f>TEXT(AD4,"aaa")</f>
        <v/>
      </c>
      <c r="AE5" s="3">
        <f>TEXT(AE4,"aaa")</f>
        <v/>
      </c>
      <c r="AF5" s="3">
        <f>TEXT(AF4,"aaa")</f>
        <v/>
      </c>
      <c r="AG5" s="3">
        <f>TEXT(AG4,"aaa")</f>
        <v/>
      </c>
      <c r="AH5" s="3">
        <f>TEXT(AH4,"aaa")</f>
        <v/>
      </c>
      <c r="AI5" s="124">
        <f>TEXT(AI4,"aaa")</f>
        <v/>
      </c>
      <c r="AJ5" s="15" t="n"/>
      <c r="AK5" s="17" t="inlineStr">
        <is>
          <t>Ａ</t>
        </is>
      </c>
      <c r="AL5" s="18" t="inlineStr">
        <is>
          <t>Ｂ</t>
        </is>
      </c>
      <c r="AM5" s="18" t="inlineStr">
        <is>
          <t>Ｄ</t>
        </is>
      </c>
      <c r="AN5" s="18" t="inlineStr">
        <is>
          <t>Ｅ</t>
        </is>
      </c>
      <c r="AO5" s="79" t="inlineStr">
        <is>
          <t>C</t>
        </is>
      </c>
      <c r="AP5" s="19" t="inlineStr">
        <is>
          <t>夜</t>
        </is>
      </c>
      <c r="AQ5" s="19" t="inlineStr">
        <is>
          <t>明</t>
        </is>
      </c>
      <c r="AR5" s="130" t="inlineStr">
        <is>
          <t>他</t>
        </is>
      </c>
      <c r="AS5" s="64" t="inlineStr">
        <is>
          <t>調1</t>
        </is>
      </c>
      <c r="AT5" s="31" t="inlineStr">
        <is>
          <t>調2</t>
        </is>
      </c>
      <c r="AU5" s="16" t="inlineStr">
        <is>
          <t>有</t>
        </is>
      </c>
      <c r="AV5" s="20" t="inlineStr">
        <is>
          <t>休</t>
        </is>
      </c>
      <c r="AW5" s="21" t="inlineStr">
        <is>
          <t>出勤計</t>
        </is>
      </c>
      <c r="AX5" s="21" t="inlineStr">
        <is>
          <t>出勤上限</t>
        </is>
      </c>
      <c r="AY5" s="77" t="inlineStr">
        <is>
          <t>出勤日数
チェック</t>
        </is>
      </c>
    </row>
    <row r="6" ht="35.25" customHeight="1" s="447">
      <c r="A6" s="43" t="n"/>
      <c r="B6" s="50" t="inlineStr">
        <is>
          <t>管理者</t>
        </is>
      </c>
      <c r="C6" s="111" t="inlineStr">
        <is>
          <t>常勤/兼任</t>
        </is>
      </c>
      <c r="D6" s="47" t="inlineStr">
        <is>
          <t>吉玉　薫</t>
        </is>
      </c>
      <c r="E6" s="66" t="n"/>
      <c r="F6" s="70" t="n"/>
      <c r="G6" s="70" t="n"/>
      <c r="H6" s="70" t="n"/>
      <c r="I6" s="70" t="n"/>
      <c r="J6" s="70" t="n"/>
      <c r="K6" s="70" t="n"/>
      <c r="L6" s="70" t="n"/>
      <c r="M6" s="67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68" t="n"/>
      <c r="AJ6" s="22" t="n"/>
      <c r="AK6" s="58">
        <f>COUNTIF($E6:$AI6,"A")</f>
        <v/>
      </c>
      <c r="AL6" s="58">
        <f>COUNTIF($E6:$AI6,"B")</f>
        <v/>
      </c>
      <c r="AM6" s="58">
        <f>COUNTIF($E6:$AI6,"D")</f>
        <v/>
      </c>
      <c r="AN6" s="58">
        <f>+COUNTIF($E6:$AI6,"E")</f>
        <v/>
      </c>
      <c r="AO6" s="58">
        <f>COUNTIF($E6:$AI6,"C")</f>
        <v/>
      </c>
      <c r="AP6" s="58">
        <f>COUNTIF($E6:$AI6,"夜")</f>
        <v/>
      </c>
      <c r="AQ6" s="58">
        <f>COUNTIF($E6:$AI6,"明")</f>
        <v/>
      </c>
      <c r="AR6" s="58">
        <f>COUNTIF($E6:$AI6,"研")+COUNTIF($E6:$AI6,"健")</f>
        <v/>
      </c>
      <c r="AS6" s="58">
        <f>COUNTIF($E6:$AI6,"調1")</f>
        <v/>
      </c>
      <c r="AT6" s="58">
        <f>COUNTIF($E6:$AI6,"調2")</f>
        <v/>
      </c>
      <c r="AU6" s="58">
        <f>COUNTIF($E6:$AI6,"有")</f>
        <v/>
      </c>
      <c r="AV6" s="58">
        <f>COUNTIF($E6:$AI6,"休")+COUNTIF($E6:$AI6,"希")</f>
        <v/>
      </c>
      <c r="AW6" s="23">
        <f>SUM(AK6:AU6)</f>
        <v/>
      </c>
      <c r="AX6" s="23" t="n"/>
      <c r="AY6" s="78">
        <f>IF($AY$3=2,IF(AV6+AV7=8,"OK","NG"),IF(AV6+AV7=9,"OK","NG"))</f>
        <v/>
      </c>
    </row>
    <row r="7" ht="35.25" customHeight="1" s="447">
      <c r="A7" s="43" t="n"/>
      <c r="B7" s="90" t="inlineStr">
        <is>
          <t>介護職員</t>
        </is>
      </c>
      <c r="C7" s="116" t="inlineStr">
        <is>
          <t>常勤/兼任</t>
        </is>
      </c>
      <c r="D7" s="117" t="inlineStr">
        <is>
          <t>吉玉　薫</t>
        </is>
      </c>
      <c r="E7" s="69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118" t="n"/>
      <c r="AJ7" s="22" t="n"/>
      <c r="AK7" s="58">
        <f>COUNTIF($E7:$AI7,"A")</f>
        <v/>
      </c>
      <c r="AL7" s="58">
        <f>COUNTIF($E7:$AI7,"B")</f>
        <v/>
      </c>
      <c r="AM7" s="58">
        <f>COUNTIF($E7:$AI7,"D")</f>
        <v/>
      </c>
      <c r="AN7" s="58">
        <f>+COUNTIF($E7:$AI7,"E")</f>
        <v/>
      </c>
      <c r="AO7" s="58">
        <f>COUNTIF($E7:$AI7,"C")</f>
        <v/>
      </c>
      <c r="AP7" s="58">
        <f>COUNTIF($E7:$AI7,"夜")</f>
        <v/>
      </c>
      <c r="AQ7" s="58">
        <f>COUNTIF($E7:$AI7,"明")</f>
        <v/>
      </c>
      <c r="AR7" s="58">
        <f>COUNTIF($E7:$AI7,"研")+COUNTIF($E7:$AI7,"健")</f>
        <v/>
      </c>
      <c r="AS7" s="58">
        <f>COUNTIF($E7:$AI7,"調1")</f>
        <v/>
      </c>
      <c r="AT7" s="58">
        <f>COUNTIF($E7:$AI7,"調2")</f>
        <v/>
      </c>
      <c r="AU7" s="58">
        <f>COUNTIF($E7:$AI7,"有")</f>
        <v/>
      </c>
      <c r="AV7" s="58">
        <f>COUNTIF($E7:$AI7,"休")+COUNTIF($E7:$AI7,"希")</f>
        <v/>
      </c>
      <c r="AW7" s="23">
        <f>SUM(AK7:AU7)</f>
        <v/>
      </c>
      <c r="AX7" s="23" t="n"/>
      <c r="AY7" s="78" t="n"/>
    </row>
    <row r="8" ht="35.25" customHeight="1" s="447">
      <c r="A8" s="43" t="n"/>
      <c r="B8" s="90" t="inlineStr">
        <is>
          <t>介護職員</t>
        </is>
      </c>
      <c r="C8" s="112" t="inlineStr">
        <is>
          <t>常勤/専従</t>
        </is>
      </c>
      <c r="D8" s="44" t="inlineStr">
        <is>
          <t>飯星　まゆみ</t>
        </is>
      </c>
      <c r="E8" s="93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94" t="n"/>
      <c r="P8" s="70" t="n"/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94" t="n"/>
      <c r="AE8" s="70" t="n"/>
      <c r="AF8" s="70" t="n"/>
      <c r="AG8" s="70" t="n"/>
      <c r="AH8" s="95" t="n"/>
      <c r="AI8" s="74" t="n"/>
      <c r="AJ8" s="22" t="n"/>
      <c r="AK8" s="58">
        <f>COUNTIF($E8:$AI8,"A")</f>
        <v/>
      </c>
      <c r="AL8" s="58">
        <f>COUNTIF($E8:$AI8,"B")</f>
        <v/>
      </c>
      <c r="AM8" s="58">
        <f>COUNTIF($E8:$AI8,"D")</f>
        <v/>
      </c>
      <c r="AN8" s="58">
        <f>+COUNTIF($E8:$AI8,"E")</f>
        <v/>
      </c>
      <c r="AO8" s="58">
        <f>COUNTIF($E8:$AI8,"C")</f>
        <v/>
      </c>
      <c r="AP8" s="58">
        <f>COUNTIF($E8:$AI8,"夜")</f>
        <v/>
      </c>
      <c r="AQ8" s="58">
        <f>COUNTIF($E8:$AI8,"明")</f>
        <v/>
      </c>
      <c r="AR8" s="58">
        <f>COUNTIF($E8:$AI8,"研")+COUNTIF($E8:$AI8,"健")</f>
        <v/>
      </c>
      <c r="AS8" s="58">
        <f>COUNTIF($E8:$AI8,"調1")</f>
        <v/>
      </c>
      <c r="AT8" s="58">
        <f>COUNTIF($E8:$AI8,"調2")</f>
        <v/>
      </c>
      <c r="AU8" s="58">
        <f>COUNTIF($E8:$AI8,"有")</f>
        <v/>
      </c>
      <c r="AV8" s="58">
        <f>COUNTIF($E8:$AI8,"休")+COUNTIF($E8:$AI8,"希")</f>
        <v/>
      </c>
      <c r="AW8" s="23">
        <f>SUM(AK8:AU8)</f>
        <v/>
      </c>
      <c r="AX8" s="23" t="n"/>
      <c r="AY8" s="78">
        <f>IF($AY$3=2,IF(AV8=8,"OK","NG"),IF(AV8=9,"OK","NG"))</f>
        <v/>
      </c>
    </row>
    <row r="9" ht="35.25" customHeight="1" s="447">
      <c r="A9" s="43" t="n"/>
      <c r="B9" s="90" t="inlineStr">
        <is>
          <t>介護職員</t>
        </is>
      </c>
      <c r="C9" s="112" t="inlineStr">
        <is>
          <t>常勤/専従</t>
        </is>
      </c>
      <c r="D9" s="44" t="inlineStr">
        <is>
          <t>興梠　道子</t>
        </is>
      </c>
      <c r="E9" s="69" t="n"/>
      <c r="F9" s="70" t="n"/>
      <c r="G9" s="70" t="n"/>
      <c r="H9" s="94" t="n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93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94" t="n"/>
      <c r="AI9" s="70" t="n"/>
      <c r="AJ9" s="22" t="n"/>
      <c r="AK9" s="58">
        <f>COUNTIF($E9:$AI9,"A")</f>
        <v/>
      </c>
      <c r="AL9" s="58">
        <f>COUNTIF($E9:$AI9,"B")</f>
        <v/>
      </c>
      <c r="AM9" s="58">
        <f>COUNTIF($E9:$AI9,"D")</f>
        <v/>
      </c>
      <c r="AN9" s="58">
        <f>+COUNTIF($E9:$AI9,"E")</f>
        <v/>
      </c>
      <c r="AO9" s="58">
        <f>COUNTIF($E9:$AI9,"C")</f>
        <v/>
      </c>
      <c r="AP9" s="58">
        <f>COUNTIF($E9:$AI9,"夜")</f>
        <v/>
      </c>
      <c r="AQ9" s="58">
        <f>COUNTIF($E9:$AI9,"明")</f>
        <v/>
      </c>
      <c r="AR9" s="58">
        <f>COUNTIF($E9:$AI9,"研")+COUNTIF($E9:$AI9,"健")</f>
        <v/>
      </c>
      <c r="AS9" s="58">
        <f>COUNTIF($E9:$AI9,"調1")</f>
        <v/>
      </c>
      <c r="AT9" s="58">
        <f>COUNTIF($E9:$AI9,"調2")</f>
        <v/>
      </c>
      <c r="AU9" s="58">
        <f>COUNTIF($E9:$AI9,"有")</f>
        <v/>
      </c>
      <c r="AV9" s="58">
        <f>COUNTIF($E9:$AI9,"休")+COUNTIF($E9:$AI9,"希")</f>
        <v/>
      </c>
      <c r="AW9" s="23">
        <f>SUM(AK9:AU9)</f>
        <v/>
      </c>
      <c r="AX9" s="23" t="n"/>
      <c r="AY9" s="78">
        <f>IF($AY$3=2,IF(AV9=8,"OK","NG"),IF(AV9=9,"OK","NG"))</f>
        <v/>
      </c>
    </row>
    <row r="10" ht="36" customHeight="1" s="447">
      <c r="A10" s="43" t="n"/>
      <c r="B10" s="90" t="inlineStr">
        <is>
          <t>介護職員</t>
        </is>
      </c>
      <c r="C10" s="112" t="inlineStr">
        <is>
          <t>常勤/兼任</t>
        </is>
      </c>
      <c r="D10" s="44" t="inlineStr">
        <is>
          <t>小椋　富美</t>
        </is>
      </c>
      <c r="E10" s="69" t="n"/>
      <c r="F10" s="93" t="n"/>
      <c r="G10" s="95" t="n"/>
      <c r="H10" s="73" t="n"/>
      <c r="I10" s="95" t="n"/>
      <c r="J10" s="73" t="n"/>
      <c r="K10" s="95" t="n"/>
      <c r="L10" s="95" t="n"/>
      <c r="M10" s="70" t="n"/>
      <c r="N10" s="70" t="n"/>
      <c r="O10" s="70" t="n"/>
      <c r="P10" s="70" t="n"/>
      <c r="Q10" s="95" t="n"/>
      <c r="R10" s="95" t="n"/>
      <c r="S10" s="95" t="n"/>
      <c r="T10" s="70" t="n"/>
      <c r="U10" s="70" t="n"/>
      <c r="V10" s="70" t="n"/>
      <c r="W10" s="70" t="n"/>
      <c r="X10" s="70" t="n"/>
      <c r="Y10" s="70" t="n"/>
      <c r="Z10" s="95" t="n"/>
      <c r="AA10" s="95" t="n"/>
      <c r="AB10" s="70" t="n"/>
      <c r="AC10" s="70" t="n"/>
      <c r="AD10" s="70" t="n"/>
      <c r="AE10" s="70" t="n"/>
      <c r="AF10" s="95" t="n"/>
      <c r="AG10" s="95" t="n"/>
      <c r="AH10" s="70" t="n"/>
      <c r="AI10" s="72" t="n"/>
      <c r="AJ10" s="22" t="n"/>
      <c r="AK10" s="58">
        <f>COUNTIF($E10:$AI10,"A")</f>
        <v/>
      </c>
      <c r="AL10" s="58">
        <f>COUNTIF($E10:$AI10,"B")</f>
        <v/>
      </c>
      <c r="AM10" s="58">
        <f>COUNTIF($E10:$AI10,"D")</f>
        <v/>
      </c>
      <c r="AN10" s="58">
        <f>+COUNTIF($E10:$AI10,"E")</f>
        <v/>
      </c>
      <c r="AO10" s="58">
        <f>COUNTIF($E10:$AI10,"C")</f>
        <v/>
      </c>
      <c r="AP10" s="58">
        <f>COUNTIF($E10:$AI10,"夜")</f>
        <v/>
      </c>
      <c r="AQ10" s="58">
        <f>COUNTIF($E10:$AI10,"明")</f>
        <v/>
      </c>
      <c r="AR10" s="58">
        <f>COUNTIF($E10:$AI10,"研")+COUNTIF($E10:$AI10,"健")</f>
        <v/>
      </c>
      <c r="AS10" s="58">
        <f>COUNTIF($E10:$AI10,"調1")</f>
        <v/>
      </c>
      <c r="AT10" s="58">
        <f>COUNTIF($E10:$AI10,"調2")</f>
        <v/>
      </c>
      <c r="AU10" s="58">
        <f>COUNTIF($E10:$AI10,"有")</f>
        <v/>
      </c>
      <c r="AV10" s="58">
        <f>COUNTIF($E10:$AI10,"休")+COUNTIF($E10:$AI10,"希")</f>
        <v/>
      </c>
      <c r="AW10" s="23">
        <f>SUM(AK10:AU10)</f>
        <v/>
      </c>
      <c r="AX10" s="23" t="n"/>
      <c r="AY10" s="78">
        <f>IF($AY$3=2,IF(AV10=8,"OK","NG"),IF(AV10=9,"OK","NG"))</f>
        <v/>
      </c>
    </row>
    <row r="11" ht="36" customHeight="1" s="447">
      <c r="A11" s="43" t="n"/>
      <c r="B11" s="90" t="inlineStr">
        <is>
          <t>介護職員</t>
        </is>
      </c>
      <c r="C11" s="112" t="inlineStr">
        <is>
          <t>非常勤/専従</t>
        </is>
      </c>
      <c r="D11" s="44" t="inlineStr">
        <is>
          <t>吉玉　茂春</t>
        </is>
      </c>
      <c r="E11" s="69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  <c r="P11" s="70" t="n"/>
      <c r="Q11" s="70" t="n"/>
      <c r="R11" s="70" t="n"/>
      <c r="S11" s="70" t="n"/>
      <c r="T11" s="70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1" t="n"/>
      <c r="AJ11" s="22" t="n"/>
      <c r="AK11" s="58">
        <f>COUNTIF($E11:$AI11,"A")</f>
        <v/>
      </c>
      <c r="AL11" s="58">
        <f>COUNTIF($E11:$AI11,"B")</f>
        <v/>
      </c>
      <c r="AM11" s="58">
        <f>COUNTIF($E11:$AI11,"D")</f>
        <v/>
      </c>
      <c r="AN11" s="58">
        <f>+COUNTIF($E11:$AI11,"E")</f>
        <v/>
      </c>
      <c r="AO11" s="58">
        <f>COUNTIF($E11:$AI11,"C")</f>
        <v/>
      </c>
      <c r="AP11" s="58">
        <f>COUNTIF($E11:$AI11,"夜")</f>
        <v/>
      </c>
      <c r="AQ11" s="58">
        <f>COUNTIF($E11:$AI11,"明")</f>
        <v/>
      </c>
      <c r="AR11" s="58">
        <f>COUNTIF($E11:$AI11,"研")+COUNTIF($E11:$AI11,"健")</f>
        <v/>
      </c>
      <c r="AS11" s="58">
        <f>COUNTIF($E11:$AI11,"調1")</f>
        <v/>
      </c>
      <c r="AT11" s="58">
        <f>COUNTIF($E11:$AI11,"調2")</f>
        <v/>
      </c>
      <c r="AU11" s="58">
        <f>COUNTIF($E11:$AI11,"有")</f>
        <v/>
      </c>
      <c r="AV11" s="58">
        <f>COUNTIF($E11:$AI11,"休")+COUNTIF($E11:$AI11,"希")</f>
        <v/>
      </c>
      <c r="AW11" s="23">
        <f>SUM(AK11:AU11)</f>
        <v/>
      </c>
      <c r="AX11" s="23" t="n"/>
      <c r="AY11" s="78">
        <f>IF($AY$3=2,IF(AV11=8,"OK","NG"),IF(AV11=9,"OK","NG"))</f>
        <v/>
      </c>
    </row>
    <row r="12" ht="36" customHeight="1" s="447">
      <c r="A12" s="43" t="n"/>
      <c r="B12" s="90" t="inlineStr">
        <is>
          <t>介護職員</t>
        </is>
      </c>
      <c r="C12" s="112" t="inlineStr">
        <is>
          <t>非常勤/専従</t>
        </is>
      </c>
      <c r="D12" s="91" t="inlineStr">
        <is>
          <t>佐藤　いそみ</t>
        </is>
      </c>
      <c r="E12" s="97" t="n"/>
      <c r="F12" s="95" t="n"/>
      <c r="G12" s="94" t="n"/>
      <c r="H12" s="95" t="n"/>
      <c r="I12" s="93" t="n"/>
      <c r="J12" s="93" t="n"/>
      <c r="K12" s="93" t="n"/>
      <c r="L12" s="95" t="n"/>
      <c r="M12" s="95" t="n"/>
      <c r="N12" s="94" t="n"/>
      <c r="O12" s="95" t="n"/>
      <c r="P12" s="93" t="n"/>
      <c r="Q12" s="93" t="n"/>
      <c r="R12" s="93" t="n"/>
      <c r="S12" s="95" t="n"/>
      <c r="T12" s="95" t="n"/>
      <c r="U12" s="94" t="n"/>
      <c r="V12" s="95" t="n"/>
      <c r="W12" s="93" t="n"/>
      <c r="X12" s="93" t="n"/>
      <c r="Y12" s="93" t="n"/>
      <c r="Z12" s="93" t="n"/>
      <c r="AA12" s="93" t="n"/>
      <c r="AB12" s="94" t="n"/>
      <c r="AC12" s="95" t="n"/>
      <c r="AD12" s="93" t="n"/>
      <c r="AE12" s="93" t="n"/>
      <c r="AF12" s="93" t="n"/>
      <c r="AG12" s="95" t="n"/>
      <c r="AH12" s="95" t="n"/>
      <c r="AI12" s="70" t="n"/>
      <c r="AJ12" s="22" t="n"/>
      <c r="AK12" s="58">
        <f>COUNTIF($E12:$AI12,"A")</f>
        <v/>
      </c>
      <c r="AL12" s="58">
        <f>COUNTIF($E12:$AI12,"B")</f>
        <v/>
      </c>
      <c r="AM12" s="58">
        <f>COUNTIF($E12:$AI12,"D")</f>
        <v/>
      </c>
      <c r="AN12" s="58">
        <f>+COUNTIF($E12:$AI12,"E")</f>
        <v/>
      </c>
      <c r="AO12" s="58">
        <f>COUNTIF($E12:$AI12,"C")</f>
        <v/>
      </c>
      <c r="AP12" s="58">
        <f>COUNTIF($E12:$AI12,"夜")</f>
        <v/>
      </c>
      <c r="AQ12" s="58">
        <f>COUNTIF($E12:$AI12,"明")</f>
        <v/>
      </c>
      <c r="AR12" s="58">
        <f>COUNTIF($E12:$AI12,"研")+COUNTIF($E12:$AI12,"健")</f>
        <v/>
      </c>
      <c r="AS12" s="58">
        <f>COUNTIF($E12:$AI12,"調1")</f>
        <v/>
      </c>
      <c r="AT12" s="58">
        <f>COUNTIF($E12:$AI12,"調2")</f>
        <v/>
      </c>
      <c r="AU12" s="58">
        <f>COUNTIF($E12:$AI12,"有")</f>
        <v/>
      </c>
      <c r="AV12" s="58">
        <f>COUNTIF($E12:$AI12,"休")+COUNTIF($E12:$AI12,"希")</f>
        <v/>
      </c>
      <c r="AW12" s="23">
        <f>SUM(AK12:AU12)</f>
        <v/>
      </c>
      <c r="AX12" s="23" t="n"/>
      <c r="AY12" s="78">
        <f>IF($AY$3=2,IF(AV12=8,"OK","NG"),IF(AV12=9,"OK","NG"))</f>
        <v/>
      </c>
    </row>
    <row r="13" ht="36" customHeight="1" s="447">
      <c r="A13" s="43" t="n"/>
      <c r="B13" s="90" t="inlineStr">
        <is>
          <t>介護職員</t>
        </is>
      </c>
      <c r="C13" s="112" t="inlineStr">
        <is>
          <t>非常勤/専従</t>
        </is>
      </c>
      <c r="D13" s="91" t="inlineStr">
        <is>
          <t>松本　きくみ</t>
        </is>
      </c>
      <c r="E13" s="126" t="n"/>
      <c r="F13" s="95" t="n"/>
      <c r="G13" s="94" t="n"/>
      <c r="H13" s="95" t="n"/>
      <c r="I13" s="93" t="n"/>
      <c r="J13" s="93" t="n"/>
      <c r="K13" s="93" t="n"/>
      <c r="L13" s="95" t="n"/>
      <c r="M13" s="95" t="n"/>
      <c r="N13" s="94" t="n"/>
      <c r="O13" s="95" t="n"/>
      <c r="P13" s="93" t="n"/>
      <c r="Q13" s="93" t="n"/>
      <c r="R13" s="93" t="n"/>
      <c r="S13" s="95" t="n"/>
      <c r="T13" s="95" t="n"/>
      <c r="U13" s="94" t="n"/>
      <c r="V13" s="95" t="n"/>
      <c r="W13" s="93" t="n"/>
      <c r="X13" s="93" t="n"/>
      <c r="Y13" s="93" t="n"/>
      <c r="Z13" s="93" t="n"/>
      <c r="AA13" s="93" t="n"/>
      <c r="AB13" s="94" t="n"/>
      <c r="AC13" s="95" t="n"/>
      <c r="AD13" s="93" t="n"/>
      <c r="AE13" s="93" t="n"/>
      <c r="AF13" s="93" t="n"/>
      <c r="AG13" s="95" t="n"/>
      <c r="AH13" s="95" t="n"/>
      <c r="AI13" s="71" t="n"/>
      <c r="AJ13" s="22" t="n"/>
      <c r="AK13" s="58">
        <f>COUNTIF($E13:$AI13,"A")</f>
        <v/>
      </c>
      <c r="AL13" s="58">
        <f>COUNTIF($E13:$AI13,"B")</f>
        <v/>
      </c>
      <c r="AM13" s="58">
        <f>COUNTIF($E13:$AI13,"D")</f>
        <v/>
      </c>
      <c r="AN13" s="58">
        <f>+COUNTIF($E13:$AI13,"E")</f>
        <v/>
      </c>
      <c r="AO13" s="58">
        <f>COUNTIF($E13:$AI13,"C")</f>
        <v/>
      </c>
      <c r="AP13" s="58">
        <f>COUNTIF($E13:$AI13,"夜")</f>
        <v/>
      </c>
      <c r="AQ13" s="58">
        <f>COUNTIF($E13:$AI13,"明")</f>
        <v/>
      </c>
      <c r="AR13" s="58">
        <f>COUNTIF($E13:$AI13,"研")+COUNTIF($E13:$AI13,"健")</f>
        <v/>
      </c>
      <c r="AS13" s="58">
        <f>COUNTIF($E13:$AI13,"調1")</f>
        <v/>
      </c>
      <c r="AT13" s="58">
        <f>COUNTIF($E13:$AI13,"調2")</f>
        <v/>
      </c>
      <c r="AU13" s="58">
        <f>COUNTIF($E13:$AI13,"有")</f>
        <v/>
      </c>
      <c r="AV13" s="58">
        <f>COUNTIF($E13:$AI13,"休")+COUNTIF($E13:$AI13,"希")</f>
        <v/>
      </c>
      <c r="AW13" s="23">
        <f>SUM(AK13:AU13)</f>
        <v/>
      </c>
      <c r="AX13" s="23" t="n"/>
      <c r="AY13" s="78">
        <f>IF($AY$3=2,IF(AV13=8,"OK","NG"),IF(AV13=9,"OK","NG"))</f>
        <v/>
      </c>
    </row>
    <row r="14" ht="35.25" customHeight="1" s="447">
      <c r="A14" s="43" t="n"/>
      <c r="B14" s="90" t="inlineStr">
        <is>
          <t>介護職員</t>
        </is>
      </c>
      <c r="C14" s="112" t="inlineStr">
        <is>
          <t>非常勤/兼任</t>
        </is>
      </c>
      <c r="D14" s="44" t="inlineStr">
        <is>
          <t>甲斐　裕美子</t>
        </is>
      </c>
      <c r="E14" s="70" t="n"/>
      <c r="F14" s="70" t="n"/>
      <c r="G14" s="73" t="n"/>
      <c r="H14" s="70" t="n"/>
      <c r="I14" s="73" t="n"/>
      <c r="J14" s="70" t="n"/>
      <c r="K14" s="70" t="n"/>
      <c r="L14" s="70" t="n"/>
      <c r="M14" s="70" t="n"/>
      <c r="N14" s="93" t="n"/>
      <c r="O14" s="93" t="n"/>
      <c r="P14" s="73" t="n"/>
      <c r="Q14" s="106" t="n"/>
      <c r="R14" s="94" t="n"/>
      <c r="S14" s="70" t="n"/>
      <c r="T14" s="94" t="n"/>
      <c r="U14" s="93" t="n"/>
      <c r="V14" s="70" t="n"/>
      <c r="W14" s="73" t="n"/>
      <c r="X14" s="93" t="n"/>
      <c r="Y14" s="93" t="n"/>
      <c r="Z14" s="95" t="n"/>
      <c r="AA14" s="70" t="n"/>
      <c r="AB14" s="93" t="n"/>
      <c r="AC14" s="70" t="n"/>
      <c r="AD14" s="93" t="n"/>
      <c r="AE14" s="93" t="n"/>
      <c r="AF14" s="93" t="n"/>
      <c r="AG14" s="70" t="n"/>
      <c r="AH14" s="93" t="n"/>
      <c r="AI14" s="72" t="n"/>
      <c r="AJ14" s="22" t="n"/>
      <c r="AK14" s="58">
        <f>COUNTIF($E14:$AI14,"A")</f>
        <v/>
      </c>
      <c r="AL14" s="58">
        <f>COUNTIF($E14:$AI14,"B")</f>
        <v/>
      </c>
      <c r="AM14" s="58">
        <f>COUNTIF($E14:$AI14,"D")</f>
        <v/>
      </c>
      <c r="AN14" s="58">
        <f>+COUNTIF($E14:$AI14,"E")</f>
        <v/>
      </c>
      <c r="AO14" s="58">
        <f>COUNTIF($E14:$AI14,"C")</f>
        <v/>
      </c>
      <c r="AP14" s="58">
        <f>COUNTIF($E14:$AI14,"夜")</f>
        <v/>
      </c>
      <c r="AQ14" s="58">
        <f>COUNTIF($E14:$AI14,"明")</f>
        <v/>
      </c>
      <c r="AR14" s="58">
        <f>COUNTIF($E14:$AI14,"研")+COUNTIF($E14:$AI14,"健")</f>
        <v/>
      </c>
      <c r="AS14" s="58">
        <f>COUNTIF($E14:$AI14,"調1")</f>
        <v/>
      </c>
      <c r="AT14" s="58">
        <f>COUNTIF($E14:$AI14,"調2")</f>
        <v/>
      </c>
      <c r="AU14" s="58">
        <f>COUNTIF($E14:$AI14,"有")</f>
        <v/>
      </c>
      <c r="AV14" s="58">
        <f>COUNTIF($E14:$AI14,"休")+COUNTIF($E14:$AI14,"希")</f>
        <v/>
      </c>
      <c r="AW14" s="23">
        <f>SUM(AK14:AU14)</f>
        <v/>
      </c>
      <c r="AX14" s="23" t="n"/>
      <c r="AY14" s="78">
        <f>IF($AY$3=2,IF(AV14=8,"OK","NG"),IF(AV14=9,"OK","NG"))</f>
        <v/>
      </c>
    </row>
    <row r="15" ht="35.25" customHeight="1" s="447">
      <c r="A15" s="43" t="n"/>
      <c r="B15" s="90" t="inlineStr">
        <is>
          <t>介護職員</t>
        </is>
      </c>
      <c r="C15" s="112" t="inlineStr">
        <is>
          <t>非常勤/専従</t>
        </is>
      </c>
      <c r="D15" s="91" t="inlineStr">
        <is>
          <t>辰見　イツ子</t>
        </is>
      </c>
      <c r="E15" s="69" t="n"/>
      <c r="F15" s="94" t="n"/>
      <c r="G15" s="70" t="n"/>
      <c r="H15" s="70" t="n"/>
      <c r="I15" s="70" t="n"/>
      <c r="J15" s="70" t="n"/>
      <c r="K15" s="70" t="n"/>
      <c r="L15" s="70" t="n"/>
      <c r="M15" s="94" t="n"/>
      <c r="N15" s="94" t="n"/>
      <c r="O15" s="70" t="n"/>
      <c r="P15" s="73" t="n"/>
      <c r="Q15" s="95" t="n"/>
      <c r="R15" s="93" t="n"/>
      <c r="S15" s="73" t="n"/>
      <c r="T15" s="95" t="n"/>
      <c r="U15" s="93" t="n"/>
      <c r="V15" s="70" t="n"/>
      <c r="W15" s="93" t="n"/>
      <c r="X15" s="93" t="n"/>
      <c r="Y15" s="93" t="n"/>
      <c r="Z15" s="106" t="n"/>
      <c r="AA15" s="95" t="n"/>
      <c r="AB15" s="93" t="n"/>
      <c r="AC15" s="70" t="n"/>
      <c r="AD15" s="70" t="n"/>
      <c r="AE15" s="93" t="n"/>
      <c r="AF15" s="93" t="n"/>
      <c r="AG15" s="93" t="n"/>
      <c r="AH15" s="106" t="n"/>
      <c r="AI15" s="101" t="n"/>
      <c r="AJ15" s="22" t="n"/>
      <c r="AK15" s="58">
        <f>COUNTIF($E15:$AI15,"A")</f>
        <v/>
      </c>
      <c r="AL15" s="58">
        <f>COUNTIF($E15:$AI15,"B")</f>
        <v/>
      </c>
      <c r="AM15" s="58">
        <f>COUNTIF($E15:$AI15,"D")</f>
        <v/>
      </c>
      <c r="AN15" s="58">
        <f>+COUNTIF($E15:$AI15,"E")</f>
        <v/>
      </c>
      <c r="AO15" s="58">
        <f>COUNTIF($E15:$AI15,"C")</f>
        <v/>
      </c>
      <c r="AP15" s="58">
        <f>COUNTIF($E15:$AI15,"夜")</f>
        <v/>
      </c>
      <c r="AQ15" s="58">
        <f>COUNTIF($E15:$AI15,"明")</f>
        <v/>
      </c>
      <c r="AR15" s="58">
        <f>COUNTIF($E15:$AI15,"研")+COUNTIF($E15:$AI15,"健")</f>
        <v/>
      </c>
      <c r="AS15" s="58">
        <f>COUNTIF($E15:$AI15,"調1")</f>
        <v/>
      </c>
      <c r="AT15" s="58">
        <f>COUNTIF($E15:$AI15,"調2")</f>
        <v/>
      </c>
      <c r="AU15" s="58">
        <f>COUNTIF($E15:$AI15,"有")</f>
        <v/>
      </c>
      <c r="AV15" s="58">
        <f>COUNTIF($E15:$AI15,"休")+COUNTIF($E15:$AI15,"希")</f>
        <v/>
      </c>
      <c r="AW15" s="23">
        <f>SUM(AK15:AU15)</f>
        <v/>
      </c>
      <c r="AX15" s="23" t="n"/>
      <c r="AY15" s="78">
        <f>IF($AY$3=2,IF(AV15=8,"OK","NG"),IF(AV15=9,"OK","NG"))</f>
        <v/>
      </c>
    </row>
    <row r="16" ht="35.25" customHeight="1" s="447">
      <c r="A16" s="43" t="n"/>
      <c r="B16" s="90" t="inlineStr">
        <is>
          <t>介護職員</t>
        </is>
      </c>
      <c r="C16" s="112" t="inlineStr">
        <is>
          <t>非常勤/専従</t>
        </is>
      </c>
      <c r="D16" s="91" t="inlineStr">
        <is>
          <t>甲斐　静幸</t>
        </is>
      </c>
      <c r="E16" s="107" t="n"/>
      <c r="F16" s="70" t="n"/>
      <c r="G16" s="70" t="n"/>
      <c r="H16" s="70" t="n"/>
      <c r="I16" s="70" t="n"/>
      <c r="J16" s="70" t="n"/>
      <c r="K16" s="70" t="n"/>
      <c r="L16" s="94" t="n"/>
      <c r="M16" s="70" t="n"/>
      <c r="N16" s="94" t="n"/>
      <c r="O16" s="93" t="n"/>
      <c r="P16" s="93" t="n"/>
      <c r="Q16" s="94" t="n"/>
      <c r="R16" s="94" t="n"/>
      <c r="S16" s="93" t="n"/>
      <c r="T16" s="93" t="n"/>
      <c r="U16" s="94" t="n"/>
      <c r="V16" s="93" t="n"/>
      <c r="W16" s="93" t="n"/>
      <c r="X16" s="94" t="n"/>
      <c r="Y16" s="93" t="n"/>
      <c r="Z16" s="93" t="n"/>
      <c r="AA16" s="106" t="n"/>
      <c r="AB16" s="70" t="n"/>
      <c r="AC16" s="93" t="n"/>
      <c r="AD16" s="93" t="n"/>
      <c r="AE16" s="94" t="n"/>
      <c r="AF16" s="94" t="n"/>
      <c r="AG16" s="94" t="n"/>
      <c r="AH16" s="93" t="n"/>
      <c r="AI16" s="98" t="n"/>
      <c r="AJ16" s="22" t="n"/>
      <c r="AK16" s="58">
        <f>COUNTIF($E16:$AI16,"A")</f>
        <v/>
      </c>
      <c r="AL16" s="58">
        <f>COUNTIF($E16:$AI16,"B")</f>
        <v/>
      </c>
      <c r="AM16" s="58">
        <f>COUNTIF($E16:$AI16,"D")</f>
        <v/>
      </c>
      <c r="AN16" s="58">
        <f>+COUNTIF($E16:$AI16,"E")</f>
        <v/>
      </c>
      <c r="AO16" s="58">
        <f>COUNTIF($E16:$AI16,"C")</f>
        <v/>
      </c>
      <c r="AP16" s="58">
        <f>COUNTIF($E16:$AI16,"夜")</f>
        <v/>
      </c>
      <c r="AQ16" s="58">
        <f>COUNTIF($E16:$AI16,"明")</f>
        <v/>
      </c>
      <c r="AR16" s="58">
        <f>COUNTIF($E16:$AI16,"研")+COUNTIF($E16:$AI16,"健")</f>
        <v/>
      </c>
      <c r="AS16" s="58">
        <f>COUNTIF($E16:$AI16,"調1")</f>
        <v/>
      </c>
      <c r="AT16" s="58">
        <f>COUNTIF($E16:$AI16,"調2")</f>
        <v/>
      </c>
      <c r="AU16" s="58">
        <f>COUNTIF($E16:$AI16,"有")</f>
        <v/>
      </c>
      <c r="AV16" s="58">
        <f>COUNTIF($E16:$AI16,"休")+COUNTIF($E16:$AI16,"希")</f>
        <v/>
      </c>
      <c r="AW16" s="23">
        <f>SUM(AK16:AU16)</f>
        <v/>
      </c>
      <c r="AX16" s="23" t="n"/>
      <c r="AY16" s="78">
        <f>IF($AY$3=2,IF(AV16=8,"OK","NG"),IF(AV16=9,"OK","NG"))</f>
        <v/>
      </c>
    </row>
    <row r="17" ht="35.25" customHeight="1" s="447">
      <c r="A17" s="43" t="n"/>
      <c r="B17" s="90" t="inlineStr">
        <is>
          <t>介護職員</t>
        </is>
      </c>
      <c r="C17" s="112" t="inlineStr">
        <is>
          <t>常勤/兼任</t>
        </is>
      </c>
      <c r="D17" s="44" t="inlineStr">
        <is>
          <t>渡邊　哲也</t>
        </is>
      </c>
      <c r="E17" s="97" t="n"/>
      <c r="F17" s="70" t="n"/>
      <c r="G17" s="93" t="n"/>
      <c r="H17" s="93" t="n"/>
      <c r="I17" s="70" t="n"/>
      <c r="J17" s="95" t="n"/>
      <c r="K17" s="95" t="n"/>
      <c r="L17" s="94" t="n"/>
      <c r="M17" s="70" t="n"/>
      <c r="N17" s="93" t="n"/>
      <c r="O17" s="70" t="n"/>
      <c r="P17" s="70" t="n"/>
      <c r="Q17" s="95" t="n"/>
      <c r="R17" s="95" t="n"/>
      <c r="S17" s="106" t="n"/>
      <c r="T17" s="73" t="n"/>
      <c r="U17" s="95" t="n"/>
      <c r="V17" s="95" t="n"/>
      <c r="W17" s="93" t="n"/>
      <c r="X17" s="95" t="n"/>
      <c r="Y17" s="95" t="n"/>
      <c r="Z17" s="93" t="n"/>
      <c r="AA17" s="73" t="n"/>
      <c r="AB17" s="95" t="n"/>
      <c r="AC17" s="93" t="n"/>
      <c r="AD17" s="93" t="n"/>
      <c r="AE17" s="95" t="n"/>
      <c r="AF17" s="95" t="n"/>
      <c r="AG17" s="94" t="n"/>
      <c r="AH17" s="93" t="n"/>
      <c r="AI17" s="98" t="n"/>
      <c r="AJ17" s="22" t="n"/>
      <c r="AK17" s="58">
        <f>COUNTIF($E17:$AI17,"A")</f>
        <v/>
      </c>
      <c r="AL17" s="58">
        <f>COUNTIF($E17:$AI17,"B")</f>
        <v/>
      </c>
      <c r="AM17" s="58">
        <f>COUNTIF($E17:$AI17,"D")</f>
        <v/>
      </c>
      <c r="AN17" s="58">
        <f>+COUNTIF($E17:$AI17,"E")</f>
        <v/>
      </c>
      <c r="AO17" s="58">
        <f>COUNTIF($E17:$AI17,"C")</f>
        <v/>
      </c>
      <c r="AP17" s="58">
        <f>COUNTIF($E17:$AI17,"夜")</f>
        <v/>
      </c>
      <c r="AQ17" s="58">
        <f>COUNTIF($E17:$AI17,"明")</f>
        <v/>
      </c>
      <c r="AR17" s="58">
        <f>COUNTIF($E17:$AI17,"研")+COUNTIF($E17:$AI17,"健")</f>
        <v/>
      </c>
      <c r="AS17" s="58">
        <f>COUNTIF($E17:$AI17,"調1")</f>
        <v/>
      </c>
      <c r="AT17" s="58">
        <f>COUNTIF($E17:$AI17,"調2")</f>
        <v/>
      </c>
      <c r="AU17" s="58">
        <f>COUNTIF($E17:$AI17,"有")</f>
        <v/>
      </c>
      <c r="AV17" s="58">
        <f>COUNTIF($E17:$AI17,"休")+COUNTIF($E17:$AI17,"希")</f>
        <v/>
      </c>
      <c r="AW17" s="23">
        <f>SUM(AK17:AU17)</f>
        <v/>
      </c>
      <c r="AX17" s="23" t="n"/>
      <c r="AY17" s="78">
        <f>IF($AY$3=2,IF(AV17=8,"OK","NG"),IF(AV17=9,"OK","NG"))</f>
        <v/>
      </c>
    </row>
    <row r="18" ht="35.25" customHeight="1" s="447">
      <c r="A18" s="43" t="n"/>
      <c r="B18" s="90" t="inlineStr">
        <is>
          <t>計画作成担当者</t>
        </is>
      </c>
      <c r="C18" s="112" t="inlineStr">
        <is>
          <t>常勤/兼任</t>
        </is>
      </c>
      <c r="D18" s="44" t="inlineStr">
        <is>
          <t>渡邊　哲也</t>
        </is>
      </c>
      <c r="E18" s="97" t="n"/>
      <c r="F18" s="73" t="n"/>
      <c r="G18" s="93" t="n"/>
      <c r="H18" s="93" t="n"/>
      <c r="I18" s="70" t="n"/>
      <c r="J18" s="95" t="n"/>
      <c r="K18" s="95" t="n"/>
      <c r="L18" s="106" t="n"/>
      <c r="M18" s="73" t="n"/>
      <c r="N18" s="93" t="n"/>
      <c r="O18" s="70" t="n"/>
      <c r="P18" s="70" t="n"/>
      <c r="Q18" s="95" t="n"/>
      <c r="R18" s="95" t="n"/>
      <c r="S18" s="106" t="n"/>
      <c r="T18" s="73" t="n"/>
      <c r="U18" s="95" t="n"/>
      <c r="V18" s="95" t="n"/>
      <c r="W18" s="70" t="n"/>
      <c r="X18" s="95" t="n"/>
      <c r="Y18" s="95" t="n"/>
      <c r="Z18" s="106" t="n"/>
      <c r="AA18" s="73" t="n"/>
      <c r="AB18" s="95" t="n"/>
      <c r="AC18" s="70" t="n"/>
      <c r="AD18" s="94" t="n"/>
      <c r="AE18" s="95" t="n"/>
      <c r="AF18" s="95" t="n"/>
      <c r="AG18" s="106" t="n"/>
      <c r="AH18" s="70" t="n"/>
      <c r="AI18" s="72" t="n"/>
      <c r="AJ18" s="22" t="n"/>
      <c r="AK18" s="58">
        <f>COUNTIF($E18:$AI18,"A")</f>
        <v/>
      </c>
      <c r="AL18" s="58">
        <f>COUNTIF($E18:$AI18,"B")</f>
        <v/>
      </c>
      <c r="AM18" s="58">
        <f>COUNTIF($E18:$AI18,"D")</f>
        <v/>
      </c>
      <c r="AN18" s="58">
        <f>+COUNTIF($E18:$AI18,"E")</f>
        <v/>
      </c>
      <c r="AO18" s="58">
        <f>COUNTIF($E18:$AI18,"C")</f>
        <v/>
      </c>
      <c r="AP18" s="58">
        <f>COUNTIF($E18:$AI18,"夜")</f>
        <v/>
      </c>
      <c r="AQ18" s="58">
        <f>COUNTIF($E18:$AI18,"明")</f>
        <v/>
      </c>
      <c r="AR18" s="58">
        <f>COUNTIF($E18:$AI18,"研")+COUNTIF($E18:$AI18,"健")</f>
        <v/>
      </c>
      <c r="AS18" s="58">
        <f>COUNTIF($E18:$AI18,"調1")</f>
        <v/>
      </c>
      <c r="AT18" s="58">
        <f>COUNTIF($E18:$AI18,"調2")</f>
        <v/>
      </c>
      <c r="AU18" s="58">
        <f>COUNTIF($E18:$AI18,"有")</f>
        <v/>
      </c>
      <c r="AV18" s="58">
        <f>COUNTIF($E18:$AI18,"休")+COUNTIF($E18:$AI18,"希")</f>
        <v/>
      </c>
      <c r="AW18" s="23">
        <f>SUM(AK18:AU18)</f>
        <v/>
      </c>
      <c r="AX18" s="23" t="n"/>
      <c r="AY18" s="78">
        <f>IF($AY$3=2,IF(AV18=8,"OK","NG"),IF(AV18=9,"OK","NG"))</f>
        <v/>
      </c>
    </row>
    <row r="19" ht="35.25" customHeight="1" s="447">
      <c r="A19" s="43" t="n"/>
      <c r="B19" s="90" t="inlineStr">
        <is>
          <t>機能訓練指導員</t>
        </is>
      </c>
      <c r="C19" s="112" t="inlineStr">
        <is>
          <t>常勤/専従</t>
        </is>
      </c>
      <c r="D19" s="91" t="inlineStr">
        <is>
          <t>甲斐　充代</t>
        </is>
      </c>
      <c r="E19" s="69" t="n"/>
      <c r="F19" s="70" t="n"/>
      <c r="G19" s="70" t="n"/>
      <c r="H19" s="70" t="n"/>
      <c r="I19" s="70" t="n"/>
      <c r="J19" s="93" t="n"/>
      <c r="K19" s="70" t="n"/>
      <c r="L19" s="70" t="n"/>
      <c r="M19" s="94" t="n"/>
      <c r="N19" s="93" t="n"/>
      <c r="O19" s="70" t="n"/>
      <c r="P19" s="70" t="n"/>
      <c r="Q19" s="70" t="n"/>
      <c r="R19" s="70" t="n"/>
      <c r="S19" s="70" t="n"/>
      <c r="T19" s="94" t="n"/>
      <c r="U19" s="70" t="n"/>
      <c r="V19" s="94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2" t="n"/>
      <c r="AJ19" s="22" t="n"/>
      <c r="AK19" s="58">
        <f>COUNTIF($E19:$AI19,"A")</f>
        <v/>
      </c>
      <c r="AL19" s="58">
        <f>COUNTIF($E19:$AI19,"B")</f>
        <v/>
      </c>
      <c r="AM19" s="58">
        <f>COUNTIF($E19:$AI19,"D")</f>
        <v/>
      </c>
      <c r="AN19" s="58">
        <f>+COUNTIF($E19:$AI19,"E")</f>
        <v/>
      </c>
      <c r="AO19" s="58">
        <f>COUNTIF($E19:$AI19,"C")</f>
        <v/>
      </c>
      <c r="AP19" s="58">
        <f>COUNTIF($E19:$AI19,"夜")</f>
        <v/>
      </c>
      <c r="AQ19" s="58">
        <f>COUNTIF($E19:$AI19,"明")</f>
        <v/>
      </c>
      <c r="AR19" s="58">
        <f>COUNTIF($E19:$AI19,"研")+COUNTIF($E19:$AI19,"健")</f>
        <v/>
      </c>
      <c r="AS19" s="58">
        <f>COUNTIF($E19:$AI19,"調1")</f>
        <v/>
      </c>
      <c r="AT19" s="58">
        <f>COUNTIF($E19:$AI19,"調2")</f>
        <v/>
      </c>
      <c r="AU19" s="58">
        <f>COUNTIF($E19:$AI19,"有")</f>
        <v/>
      </c>
      <c r="AV19" s="58">
        <f>COUNTIF($E19:$AI19,"休")+COUNTIF($E19:$AI19,"希")</f>
        <v/>
      </c>
      <c r="AW19" s="23">
        <f>SUM(AK19:AU19)</f>
        <v/>
      </c>
      <c r="AX19" s="23" t="n"/>
      <c r="AY19" s="78">
        <f>IF($AY$3=2,IF(AV19=8,"OK","NG"),IF(AV19=9,"OK","NG"))</f>
        <v/>
      </c>
    </row>
    <row r="20" ht="35.25" customHeight="1" s="447">
      <c r="A20" s="43" t="n"/>
      <c r="B20" s="90" t="inlineStr">
        <is>
          <t>生活相談員</t>
        </is>
      </c>
      <c r="C20" s="112" t="inlineStr">
        <is>
          <t>常勤/専従</t>
        </is>
      </c>
      <c r="D20" s="91" t="inlineStr">
        <is>
          <t>田上　元美</t>
        </is>
      </c>
      <c r="E20" s="107" t="n"/>
      <c r="F20" s="70" t="n"/>
      <c r="G20" s="70" t="n"/>
      <c r="H20" s="93" t="n"/>
      <c r="I20" s="70" t="n"/>
      <c r="J20" s="94" t="n"/>
      <c r="K20" s="94" t="n"/>
      <c r="L20" s="93" t="n"/>
      <c r="M20" s="70" t="n"/>
      <c r="N20" s="94" t="n"/>
      <c r="O20" s="94" t="n"/>
      <c r="P20" s="95" t="n"/>
      <c r="Q20" s="70" t="n"/>
      <c r="R20" s="70" t="n"/>
      <c r="S20" s="70" t="n"/>
      <c r="T20" s="70" t="n"/>
      <c r="U20" s="73" t="n"/>
      <c r="V20" s="70" t="n"/>
      <c r="W20" s="70" t="n"/>
      <c r="X20" s="70" t="n"/>
      <c r="Y20" s="70" t="n"/>
      <c r="Z20" s="70" t="n"/>
      <c r="AA20" s="70" t="n"/>
      <c r="AB20" s="73" t="n"/>
      <c r="AC20" s="70" t="n"/>
      <c r="AD20" s="73" t="n"/>
      <c r="AE20" s="95" t="n"/>
      <c r="AF20" s="70" t="n"/>
      <c r="AG20" s="70" t="n"/>
      <c r="AH20" s="70" t="n"/>
      <c r="AI20" s="70" t="n"/>
      <c r="AJ20" s="22" t="n"/>
      <c r="AK20" s="58">
        <f>COUNTIF($E20:$AI20,"A")</f>
        <v/>
      </c>
      <c r="AL20" s="58">
        <f>COUNTIF($E20:$AI20,"B")</f>
        <v/>
      </c>
      <c r="AM20" s="58">
        <f>COUNTIF($E20:$AI20,"D")</f>
        <v/>
      </c>
      <c r="AN20" s="58">
        <f>+COUNTIF($E20:$AI20,"E")</f>
        <v/>
      </c>
      <c r="AO20" s="58">
        <f>COUNTIF($E20:$AI20,"C")</f>
        <v/>
      </c>
      <c r="AP20" s="58">
        <f>COUNTIF($E20:$AI20,"夜")</f>
        <v/>
      </c>
      <c r="AQ20" s="58">
        <f>COUNTIF($E20:$AI20,"明")</f>
        <v/>
      </c>
      <c r="AR20" s="58">
        <f>COUNTIF($E20:$AI20,"研")+COUNTIF($E20:$AI20,"健")</f>
        <v/>
      </c>
      <c r="AS20" s="58">
        <f>COUNTIF($E20:$AI20,"調1")</f>
        <v/>
      </c>
      <c r="AT20" s="58">
        <f>COUNTIF($E20:$AI20,"調2")</f>
        <v/>
      </c>
      <c r="AU20" s="58">
        <f>COUNTIF($E20:$AI20,"有")</f>
        <v/>
      </c>
      <c r="AV20" s="58">
        <f>COUNTIF($E20:$AI20,"休")+COUNTIF($E20:$AI20,"希")</f>
        <v/>
      </c>
      <c r="AW20" s="23">
        <f>SUM(AK20:AU20)</f>
        <v/>
      </c>
      <c r="AX20" s="23" t="n"/>
      <c r="AY20" s="78">
        <f>IF($AY$3=2,IF(AV20=8,"OK","NG"),IF(AV20=9,"OK","NG"))</f>
        <v/>
      </c>
    </row>
    <row r="21" ht="35.25" customHeight="1" s="447">
      <c r="A21" s="43" t="n"/>
      <c r="B21" s="90" t="inlineStr">
        <is>
          <t>看護職員</t>
        </is>
      </c>
      <c r="C21" s="112" t="inlineStr">
        <is>
          <t>常勤/専従</t>
        </is>
      </c>
      <c r="D21" s="91" t="inlineStr">
        <is>
          <t>甲斐　千代美</t>
        </is>
      </c>
      <c r="E21" s="69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22" t="n"/>
      <c r="AK21" s="58">
        <f>COUNTIF($E21:$AI21,"A")</f>
        <v/>
      </c>
      <c r="AL21" s="58">
        <f>COUNTIF($E21:$AI21,"B")</f>
        <v/>
      </c>
      <c r="AM21" s="58">
        <f>COUNTIF($E21:$AI21,"D")</f>
        <v/>
      </c>
      <c r="AN21" s="58">
        <f>+COUNTIF($E21:$AI21,"E")</f>
        <v/>
      </c>
      <c r="AO21" s="58">
        <f>COUNTIF($E21:$AI21,"C")</f>
        <v/>
      </c>
      <c r="AP21" s="58">
        <f>COUNTIF($E21:$AI21,"夜")</f>
        <v/>
      </c>
      <c r="AQ21" s="58">
        <f>COUNTIF($E21:$AI21,"明")</f>
        <v/>
      </c>
      <c r="AR21" s="58">
        <f>COUNTIF($E21:$AI21,"研")+COUNTIF($E21:$AI21,"健")</f>
        <v/>
      </c>
      <c r="AS21" s="58">
        <f>COUNTIF($E21:$AI21,"調1")</f>
        <v/>
      </c>
      <c r="AT21" s="58">
        <f>COUNTIF($E21:$AI21,"調2")</f>
        <v/>
      </c>
      <c r="AU21" s="58">
        <f>COUNTIF($E21:$AI21,"有")</f>
        <v/>
      </c>
      <c r="AV21" s="58">
        <f>COUNTIF($E21:$AI21,"休")+COUNTIF($E21:$AI21,"希")</f>
        <v/>
      </c>
      <c r="AW21" s="23">
        <f>SUM(AK21:AU21)</f>
        <v/>
      </c>
      <c r="AX21" s="23" t="n"/>
      <c r="AY21" s="78">
        <f>IF($AY$3=2,IF(AV21=8,"OK","NG"),IF(AV21=9,"OK","NG"))</f>
        <v/>
      </c>
    </row>
    <row r="22" ht="35.25" customHeight="1" s="447" thickBot="1">
      <c r="A22" s="43" t="n"/>
      <c r="B22" s="52" t="inlineStr">
        <is>
          <t>事務職員</t>
        </is>
      </c>
      <c r="C22" s="113" t="inlineStr">
        <is>
          <t>非常勤/専従</t>
        </is>
      </c>
      <c r="D22" s="45" t="inlineStr">
        <is>
          <t>椎葉　玲子</t>
        </is>
      </c>
      <c r="E22" s="110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2" t="n"/>
      <c r="AJ22" s="22" t="n"/>
      <c r="AK22" s="58">
        <f>COUNTIF($E22:$AI22,"A")</f>
        <v/>
      </c>
      <c r="AL22" s="58">
        <f>COUNTIF($E22:$AI22,"B")</f>
        <v/>
      </c>
      <c r="AM22" s="58">
        <f>COUNTIF($E22:$AI22,"D")</f>
        <v/>
      </c>
      <c r="AN22" s="58">
        <f>+COUNTIF($E22:$AI22,"E")</f>
        <v/>
      </c>
      <c r="AO22" s="58">
        <f>COUNTIF($E22:$AI22,"C")</f>
        <v/>
      </c>
      <c r="AP22" s="58">
        <f>COUNTIF($E22:$AI22,"夜")</f>
        <v/>
      </c>
      <c r="AQ22" s="58">
        <f>COUNTIF($E22:$AI22,"明")</f>
        <v/>
      </c>
      <c r="AR22" s="58">
        <f>COUNTIF($E22:$AI22,"研")+COUNTIF($E22:$AI22,"健")</f>
        <v/>
      </c>
      <c r="AS22" s="58">
        <f>COUNTIF($E22:$AI22,"調1")</f>
        <v/>
      </c>
      <c r="AT22" s="58">
        <f>COUNTIF($E22:$AI22,"調2")</f>
        <v/>
      </c>
      <c r="AU22" s="58">
        <f>COUNTIF($E22:$AI22,"有")</f>
        <v/>
      </c>
      <c r="AV22" s="58">
        <f>COUNTIF($E22:$AI22,"休")+COUNTIF($E22:$AI22,"希")</f>
        <v/>
      </c>
      <c r="AW22" s="23">
        <f>SUM(AK22:AU22)</f>
        <v/>
      </c>
      <c r="AX22" s="23" t="n"/>
      <c r="AY22" s="78">
        <f>IF($AY$3=2,IF(AV22=8,"OK","NG"),IF(AV22=9,"OK","NG"))</f>
        <v/>
      </c>
    </row>
    <row r="23" ht="35.25" customHeight="1" s="447">
      <c r="A23" s="43" t="n"/>
      <c r="B23" s="50" t="inlineStr">
        <is>
          <t>調理職員</t>
        </is>
      </c>
      <c r="C23" s="111" t="inlineStr">
        <is>
          <t>常勤/専従</t>
        </is>
      </c>
      <c r="D23" s="47" t="inlineStr">
        <is>
          <t>堀  カズ子</t>
        </is>
      </c>
      <c r="E23" s="120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  <c r="P23" s="102" t="n"/>
      <c r="Q23" s="102" t="n"/>
      <c r="R23" s="102" t="n"/>
      <c r="S23" s="102" t="n"/>
      <c r="T23" s="102" t="n"/>
      <c r="U23" s="102" t="n"/>
      <c r="V23" s="102" t="n"/>
      <c r="W23" s="102" t="n"/>
      <c r="X23" s="102" t="n"/>
      <c r="Y23" s="102" t="n"/>
      <c r="Z23" s="102" t="n"/>
      <c r="AA23" s="102" t="n"/>
      <c r="AB23" s="102" t="n"/>
      <c r="AC23" s="102" t="n"/>
      <c r="AD23" s="102" t="n"/>
      <c r="AE23" s="102" t="n"/>
      <c r="AF23" s="102" t="n"/>
      <c r="AG23" s="102" t="n"/>
      <c r="AH23" s="102" t="n"/>
      <c r="AI23" s="103" t="n"/>
      <c r="AJ23" s="24" t="n"/>
      <c r="AK23" s="58">
        <f>COUNTIF($E23:$AI23,"A")</f>
        <v/>
      </c>
      <c r="AL23" s="58">
        <f>COUNTIF($E23:$AI23,"B")</f>
        <v/>
      </c>
      <c r="AM23" s="58">
        <f>COUNTIF($E23:$AI23,"D")</f>
        <v/>
      </c>
      <c r="AN23" s="58">
        <f>+COUNTIF($E23:$AI23,"E")</f>
        <v/>
      </c>
      <c r="AO23" s="58">
        <f>COUNTIF($E23:$AI23,"C")</f>
        <v/>
      </c>
      <c r="AP23" s="58">
        <f>COUNTIF($E23:$AI23,"夜")</f>
        <v/>
      </c>
      <c r="AQ23" s="58">
        <f>COUNTIF($E23:$AI23,"明")</f>
        <v/>
      </c>
      <c r="AR23" s="58">
        <f>COUNTIF($E23:$AI23,"研")+COUNTIF($E23:$AI23,"健")</f>
        <v/>
      </c>
      <c r="AS23" s="58">
        <f>COUNTIF($E23:$AI23,"調1")</f>
        <v/>
      </c>
      <c r="AT23" s="58">
        <f>COUNTIF($E23:$AI23,"調2")</f>
        <v/>
      </c>
      <c r="AU23" s="58">
        <f>COUNTIF($E23:$AI23,"有")</f>
        <v/>
      </c>
      <c r="AV23" s="58">
        <f>COUNTIF($E23:$AI23,"休")+COUNTIF($E23:$AI23,"希")</f>
        <v/>
      </c>
      <c r="AW23" s="23">
        <f>SUM(AK23:AU23)</f>
        <v/>
      </c>
      <c r="AX23" s="23" t="n"/>
      <c r="AY23" s="78">
        <f>IF($AY$3=2,IF(AV23=8,"OK","NG"),IF(AV23=9,"OK","NG"))</f>
        <v/>
      </c>
    </row>
    <row r="24" ht="35.25" customHeight="1" s="447">
      <c r="A24" s="5" t="n"/>
      <c r="B24" s="53" t="inlineStr">
        <is>
          <t>調理職員</t>
        </is>
      </c>
      <c r="C24" s="114" t="inlineStr">
        <is>
          <t>常勤/専従</t>
        </is>
      </c>
      <c r="D24" s="44" t="inlineStr">
        <is>
          <t>町　　倫子</t>
        </is>
      </c>
      <c r="E24" s="104" t="n"/>
      <c r="F24" s="105" t="n"/>
      <c r="G24" s="104" t="n"/>
      <c r="H24" s="104" t="n"/>
      <c r="I24" s="104" t="n"/>
      <c r="J24" s="104" t="n"/>
      <c r="K24" s="104" t="n"/>
      <c r="L24" s="104" t="n"/>
      <c r="M24" s="105" t="n"/>
      <c r="N24" s="104" t="n"/>
      <c r="O24" s="104" t="n"/>
      <c r="P24" s="104" t="n"/>
      <c r="Q24" s="104" t="n"/>
      <c r="R24" s="104" t="n"/>
      <c r="S24" s="104" t="n"/>
      <c r="T24" s="105" t="n"/>
      <c r="U24" s="104" t="n"/>
      <c r="V24" s="104" t="n"/>
      <c r="W24" s="104" t="n"/>
      <c r="X24" s="104" t="n"/>
      <c r="Y24" s="104" t="n"/>
      <c r="Z24" s="104" t="n"/>
      <c r="AA24" s="105" t="n"/>
      <c r="AB24" s="104" t="n"/>
      <c r="AC24" s="104" t="n"/>
      <c r="AD24" s="104" t="n"/>
      <c r="AE24" s="104" t="n"/>
      <c r="AF24" s="104" t="n"/>
      <c r="AG24" s="121" t="n"/>
      <c r="AH24" s="105" t="n"/>
      <c r="AI24" s="85" t="n"/>
      <c r="AJ24" s="24" t="n"/>
      <c r="AK24" s="58">
        <f>COUNTIF($E24:$AI24,"A")</f>
        <v/>
      </c>
      <c r="AL24" s="58">
        <f>COUNTIF($E24:$AI24,"B")</f>
        <v/>
      </c>
      <c r="AM24" s="58">
        <f>COUNTIF($E24:$AI24,"D")</f>
        <v/>
      </c>
      <c r="AN24" s="58">
        <f>+COUNTIF($E24:$AI24,"E")</f>
        <v/>
      </c>
      <c r="AO24" s="58">
        <f>COUNTIF($E24:$AI24,"C")</f>
        <v/>
      </c>
      <c r="AP24" s="58">
        <f>COUNTIF($E24:$AI24,"夜")</f>
        <v/>
      </c>
      <c r="AQ24" s="58">
        <f>COUNTIF($E24:$AI24,"明")</f>
        <v/>
      </c>
      <c r="AR24" s="58">
        <f>COUNTIF($E24:$AI24,"研")+COUNTIF($E24:$AI24,"健")</f>
        <v/>
      </c>
      <c r="AS24" s="58">
        <f>COUNTIF($E24:$AI24,"調1")</f>
        <v/>
      </c>
      <c r="AT24" s="58">
        <f>COUNTIF($E24:$AI24,"調2")</f>
        <v/>
      </c>
      <c r="AU24" s="58">
        <f>COUNTIF($E24:$AI24,"有")</f>
        <v/>
      </c>
      <c r="AV24" s="58">
        <f>COUNTIF($E24:$AI24,"休")+COUNTIF($E24:$AI24,"希")</f>
        <v/>
      </c>
      <c r="AW24" s="23">
        <f>SUM(AK24:AU24)</f>
        <v/>
      </c>
      <c r="AX24" s="23" t="n"/>
      <c r="AY24" s="78">
        <f>IF($AY$3=2,IF(AV24=8,"OK","NG"),IF(AV24=9,"OK","NG"))</f>
        <v/>
      </c>
    </row>
    <row r="25" ht="35.25" customFormat="1" customHeight="1" s="2">
      <c r="A25" s="5" t="n"/>
      <c r="B25" s="53" t="inlineStr">
        <is>
          <t>調理職員</t>
        </is>
      </c>
      <c r="C25" s="114" t="inlineStr">
        <is>
          <t>常勤/専従</t>
        </is>
      </c>
      <c r="D25" s="46" t="inlineStr">
        <is>
          <t>甲斐　幸子</t>
        </is>
      </c>
      <c r="E25" s="122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21" t="n"/>
      <c r="Q25" s="104" t="n"/>
      <c r="R25" s="104" t="n"/>
      <c r="S25" s="121" t="n"/>
      <c r="T25" s="104" t="n"/>
      <c r="U25" s="104" t="n"/>
      <c r="V25" s="104" t="n"/>
      <c r="W25" s="104" t="n"/>
      <c r="X25" s="104" t="n"/>
      <c r="Y25" s="33" t="n"/>
      <c r="Z25" s="104" t="n"/>
      <c r="AA25" s="104" t="n"/>
      <c r="AB25" s="104" t="n"/>
      <c r="AC25" s="104" t="n"/>
      <c r="AD25" s="104" t="n"/>
      <c r="AE25" s="104" t="n"/>
      <c r="AF25" s="33" t="n"/>
      <c r="AG25" s="104" t="n"/>
      <c r="AH25" s="104" t="n"/>
      <c r="AI25" s="85" t="n"/>
      <c r="AJ25" s="25" t="n"/>
      <c r="AK25" s="58">
        <f>COUNTIF($E25:$AI25,"A")</f>
        <v/>
      </c>
      <c r="AL25" s="58">
        <f>COUNTIF($E25:$AI25,"B")</f>
        <v/>
      </c>
      <c r="AM25" s="58">
        <f>COUNTIF($E25:$AI25,"D")</f>
        <v/>
      </c>
      <c r="AN25" s="58">
        <f>+COUNTIF($E25:$AI25,"E")</f>
        <v/>
      </c>
      <c r="AO25" s="58">
        <f>COUNTIF($E25:$AI25,"C")</f>
        <v/>
      </c>
      <c r="AP25" s="58">
        <f>COUNTIF($E25:$AI25,"夜")</f>
        <v/>
      </c>
      <c r="AQ25" s="58">
        <f>COUNTIF($E25:$AI25,"明")</f>
        <v/>
      </c>
      <c r="AR25" s="58">
        <f>COUNTIF($E25:$AI25,"研")+COUNTIF($E25:$AI25,"健")</f>
        <v/>
      </c>
      <c r="AS25" s="58">
        <f>COUNTIF($E25:$AI25,"調1")</f>
        <v/>
      </c>
      <c r="AT25" s="58">
        <f>COUNTIF($E25:$AI25,"調2")</f>
        <v/>
      </c>
      <c r="AU25" s="58">
        <f>COUNTIF($E25:$AI25,"有")</f>
        <v/>
      </c>
      <c r="AV25" s="58">
        <f>COUNTIF($E25:$AI25,"休")+COUNTIF($E25:$AI25,"希")</f>
        <v/>
      </c>
      <c r="AW25" s="23">
        <f>SUM(AK25:AU25)</f>
        <v/>
      </c>
      <c r="AX25" s="23" t="n"/>
      <c r="AY25" s="78">
        <f>IF($AY$3=2,IF(AV25=8,"OK","NG"),IF(AV25=9,"OK","NG"))</f>
        <v/>
      </c>
    </row>
    <row r="26" ht="35" customFormat="1" customHeight="1" s="2">
      <c r="A26" s="5" t="n"/>
      <c r="B26" s="53" t="inlineStr">
        <is>
          <t>調理職員</t>
        </is>
      </c>
      <c r="C26" s="114" t="inlineStr">
        <is>
          <t>常勤/専従</t>
        </is>
      </c>
      <c r="D26" s="46" t="inlineStr">
        <is>
          <t>甲斐　美菜子</t>
        </is>
      </c>
      <c r="E26" s="122" t="n"/>
      <c r="F26" s="104" t="n"/>
      <c r="G26" s="104" t="n"/>
      <c r="H26" s="105" t="n"/>
      <c r="I26" s="33" t="n"/>
      <c r="J26" s="104" t="n"/>
      <c r="K26" s="104" t="n"/>
      <c r="L26" s="105" t="n"/>
      <c r="M26" s="104" t="n"/>
      <c r="N26" s="104" t="n"/>
      <c r="O26" s="105" t="n"/>
      <c r="P26" s="33" t="n"/>
      <c r="Q26" s="104" t="n"/>
      <c r="R26" s="104" t="n"/>
      <c r="S26" s="105" t="n"/>
      <c r="T26" s="104" t="n"/>
      <c r="U26" s="104" t="n"/>
      <c r="V26" s="104" t="n"/>
      <c r="W26" s="33" t="n"/>
      <c r="X26" s="104" t="n"/>
      <c r="Y26" s="104" t="n"/>
      <c r="Z26" s="104" t="n"/>
      <c r="AA26" s="104" t="n"/>
      <c r="AB26" s="104" t="n"/>
      <c r="AC26" s="105" t="n"/>
      <c r="AD26" s="33" t="n"/>
      <c r="AE26" s="104" t="n"/>
      <c r="AF26" s="104" t="n"/>
      <c r="AG26" s="105" t="n"/>
      <c r="AH26" s="104" t="n"/>
      <c r="AI26" s="104" t="n"/>
      <c r="AJ26" s="25" t="n"/>
      <c r="AK26" s="58">
        <f>COUNTIF($E26:$AI26,"A")</f>
        <v/>
      </c>
      <c r="AL26" s="58">
        <f>COUNTIF($E26:$AI26,"B")</f>
        <v/>
      </c>
      <c r="AM26" s="58">
        <f>COUNTIF($E26:$AI26,"D")</f>
        <v/>
      </c>
      <c r="AN26" s="58">
        <f>+COUNTIF($E26:$AI26,"E")</f>
        <v/>
      </c>
      <c r="AO26" s="58">
        <f>COUNTIF($E26:$AI26,"C")</f>
        <v/>
      </c>
      <c r="AP26" s="58">
        <f>COUNTIF($E26:$AI26,"夜")</f>
        <v/>
      </c>
      <c r="AQ26" s="58">
        <f>COUNTIF($E26:$AI26,"明")</f>
        <v/>
      </c>
      <c r="AR26" s="58">
        <f>COUNTIF($E26:$AI26,"研")+COUNTIF($E26:$AI26,"健")</f>
        <v/>
      </c>
      <c r="AS26" s="58">
        <f>COUNTIF($E26:$AI26,"調1")</f>
        <v/>
      </c>
      <c r="AT26" s="58">
        <f>COUNTIF($E26:$AI26,"調2")</f>
        <v/>
      </c>
      <c r="AU26" s="58">
        <f>COUNTIF($E26:$AI26,"有")</f>
        <v/>
      </c>
      <c r="AV26" s="58">
        <f>COUNTIF($E26:$AI26,"休")+COUNTIF($E26:$AI26,"希")</f>
        <v/>
      </c>
      <c r="AW26" s="23">
        <f>SUM(AK26:AU26)</f>
        <v/>
      </c>
      <c r="AX26" s="23" t="n"/>
      <c r="AY26" s="78">
        <f>IF($AY$3=2,IF(AV26=8,"OK","NG"),IF(AV26=9,"OK","NG"))</f>
        <v/>
      </c>
    </row>
    <row r="27" ht="35" customFormat="1" customHeight="1" s="2">
      <c r="A27" s="5" t="n"/>
      <c r="B27" s="53" t="inlineStr">
        <is>
          <t>調理職員</t>
        </is>
      </c>
      <c r="C27" s="112" t="inlineStr">
        <is>
          <t>常勤/兼任</t>
        </is>
      </c>
      <c r="D27" s="44" t="inlineStr">
        <is>
          <t>小椋　富美</t>
        </is>
      </c>
      <c r="E27" s="122" t="n"/>
      <c r="F27" s="104" t="n"/>
      <c r="G27" s="104" t="n"/>
      <c r="H27" s="105" t="n"/>
      <c r="I27" s="33" t="n"/>
      <c r="J27" s="104" t="n"/>
      <c r="K27" s="104" t="n"/>
      <c r="L27" s="105" t="n"/>
      <c r="M27" s="104" t="n"/>
      <c r="N27" s="104" t="n"/>
      <c r="O27" s="105" t="n"/>
      <c r="P27" s="104" t="n"/>
      <c r="Q27" s="104" t="n"/>
      <c r="R27" s="104" t="n"/>
      <c r="S27" s="105" t="n"/>
      <c r="T27" s="104" t="n"/>
      <c r="U27" s="104" t="n"/>
      <c r="V27" s="104" t="n"/>
      <c r="W27" s="33" t="n"/>
      <c r="X27" s="104" t="n"/>
      <c r="Y27" s="104" t="n"/>
      <c r="Z27" s="104" t="n"/>
      <c r="AA27" s="104" t="n"/>
      <c r="AB27" s="104" t="n"/>
      <c r="AC27" s="105" t="n"/>
      <c r="AD27" s="33" t="n"/>
      <c r="AE27" s="104" t="n"/>
      <c r="AF27" s="104" t="n"/>
      <c r="AG27" s="105" t="n"/>
      <c r="AH27" s="104" t="n"/>
      <c r="AI27" s="119" t="n"/>
      <c r="AJ27" s="25" t="n"/>
      <c r="AK27" s="58">
        <f>COUNTIF($E27:$AI27,"A")</f>
        <v/>
      </c>
      <c r="AL27" s="58">
        <f>COUNTIF($E27:$AI27,"B")</f>
        <v/>
      </c>
      <c r="AM27" s="58">
        <f>COUNTIF($E27:$AI27,"D")</f>
        <v/>
      </c>
      <c r="AN27" s="58">
        <f>+COUNTIF($E27:$AI27,"E")</f>
        <v/>
      </c>
      <c r="AO27" s="58">
        <f>COUNTIF($E27:$AI27,"C")</f>
        <v/>
      </c>
      <c r="AP27" s="58">
        <f>COUNTIF($E27:$AI27,"夜")</f>
        <v/>
      </c>
      <c r="AQ27" s="58">
        <f>COUNTIF($E27:$AI27,"明")</f>
        <v/>
      </c>
      <c r="AR27" s="58">
        <f>COUNTIF($E27:$AI27,"研")+COUNTIF($E27:$AI27,"健")</f>
        <v/>
      </c>
      <c r="AS27" s="58">
        <f>COUNTIF($E27:$AI27,"調1")</f>
        <v/>
      </c>
      <c r="AT27" s="58">
        <f>COUNTIF($E27:$AI27,"調2")</f>
        <v/>
      </c>
      <c r="AU27" s="58">
        <f>COUNTIF($E27:$AI27,"有")</f>
        <v/>
      </c>
      <c r="AV27" s="58">
        <f>COUNTIF($E27:$AI27,"休")+COUNTIF($E27:$AI27,"希")</f>
        <v/>
      </c>
      <c r="AW27" s="23">
        <f>SUM(AK27:AU27)</f>
        <v/>
      </c>
      <c r="AX27" s="23" t="n"/>
      <c r="AY27" s="78">
        <f>IF($AY$3=2,IF(AV27=8,"OK","NG"),IF(AV27=9,"OK","NG"))</f>
        <v/>
      </c>
    </row>
    <row r="28" ht="35" customFormat="1" customHeight="1" s="2">
      <c r="A28" s="5" t="n"/>
      <c r="B28" s="53" t="inlineStr">
        <is>
          <t>調理職員</t>
        </is>
      </c>
      <c r="C28" s="112" t="inlineStr">
        <is>
          <t>非常勤/兼任</t>
        </is>
      </c>
      <c r="D28" s="44" t="inlineStr">
        <is>
          <t>甲斐　裕美子</t>
        </is>
      </c>
      <c r="E28" s="122" t="n"/>
      <c r="F28" s="104" t="n"/>
      <c r="G28" s="104" t="n"/>
      <c r="H28" s="105" t="n"/>
      <c r="I28" s="33" t="n"/>
      <c r="J28" s="104" t="n"/>
      <c r="K28" s="104" t="n"/>
      <c r="L28" s="105" t="n"/>
      <c r="M28" s="104" t="n"/>
      <c r="N28" s="104" t="n"/>
      <c r="O28" s="105" t="n"/>
      <c r="P28" s="33" t="n"/>
      <c r="Q28" s="104" t="n"/>
      <c r="R28" s="104" t="n"/>
      <c r="S28" s="104" t="n"/>
      <c r="T28" s="104" t="n"/>
      <c r="U28" s="104" t="n"/>
      <c r="V28" s="104" t="n"/>
      <c r="W28" s="33" t="n"/>
      <c r="X28" s="104" t="n"/>
      <c r="Y28" s="104" t="n"/>
      <c r="Z28" s="104" t="n"/>
      <c r="AA28" s="104" t="n"/>
      <c r="AB28" s="104" t="n"/>
      <c r="AC28" s="105" t="n"/>
      <c r="AD28" s="33" t="n"/>
      <c r="AE28" s="104" t="n"/>
      <c r="AF28" s="104" t="n"/>
      <c r="AG28" s="105" t="n"/>
      <c r="AH28" s="104" t="n"/>
      <c r="AI28" s="119" t="n"/>
      <c r="AJ28" s="25" t="n"/>
      <c r="AK28" s="58">
        <f>COUNTIF($E28:$AI28,"A")</f>
        <v/>
      </c>
      <c r="AL28" s="58">
        <f>COUNTIF($E28:$AI28,"B")</f>
        <v/>
      </c>
      <c r="AM28" s="58">
        <f>COUNTIF($E28:$AI28,"D")</f>
        <v/>
      </c>
      <c r="AN28" s="58">
        <f>+COUNTIF($E28:$AI28,"E")</f>
        <v/>
      </c>
      <c r="AO28" s="58">
        <f>COUNTIF($E28:$AI28,"C")</f>
        <v/>
      </c>
      <c r="AP28" s="58">
        <f>COUNTIF($E28:$AI28,"夜")</f>
        <v/>
      </c>
      <c r="AQ28" s="58">
        <f>COUNTIF($E28:$AI28,"明")</f>
        <v/>
      </c>
      <c r="AR28" s="58">
        <f>COUNTIF($E28:$AI28,"研")+COUNTIF($E28:$AI28,"健")</f>
        <v/>
      </c>
      <c r="AS28" s="58">
        <f>COUNTIF($E28:$AI28,"調1")</f>
        <v/>
      </c>
      <c r="AT28" s="58">
        <f>COUNTIF($E28:$AI28,"調2")</f>
        <v/>
      </c>
      <c r="AU28" s="58">
        <f>COUNTIF($E28:$AI28,"有")</f>
        <v/>
      </c>
      <c r="AV28" s="58">
        <f>COUNTIF($E28:$AI28,"休")+COUNTIF($E28:$AI28,"希")</f>
        <v/>
      </c>
      <c r="AW28" s="23">
        <f>SUM(AK28:AU28)</f>
        <v/>
      </c>
      <c r="AX28" s="23" t="n"/>
      <c r="AY28" s="78">
        <f>IF($AY$3=2,IF(AV28=8,"OK","NG"),IF(AV28=9,"OK","NG"))</f>
        <v/>
      </c>
    </row>
    <row r="29" ht="35" customFormat="1" customHeight="1" s="2">
      <c r="A29" s="5" t="n"/>
      <c r="B29" s="53" t="inlineStr">
        <is>
          <t>調理職員</t>
        </is>
      </c>
      <c r="C29" s="114" t="inlineStr">
        <is>
          <t>常勤/専従</t>
        </is>
      </c>
      <c r="D29" s="46" t="inlineStr">
        <is>
          <t>高本　みち子</t>
        </is>
      </c>
      <c r="E29" s="32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84" t="n"/>
      <c r="S29" s="84" t="n"/>
      <c r="T29" s="84" t="n"/>
      <c r="U29" s="84" t="n"/>
      <c r="V29" s="84" t="n"/>
      <c r="W29" s="84" t="n"/>
      <c r="X29" s="84" t="n"/>
      <c r="Y29" s="89" t="n"/>
      <c r="Z29" s="84" t="n"/>
      <c r="AA29" s="84" t="n"/>
      <c r="AB29" s="84" t="n"/>
      <c r="AC29" s="84" t="n"/>
      <c r="AD29" s="84" t="n"/>
      <c r="AE29" s="84" t="n"/>
      <c r="AF29" s="84" t="n"/>
      <c r="AG29" s="84" t="n"/>
      <c r="AH29" s="84" t="n"/>
      <c r="AI29" s="75" t="n"/>
      <c r="AJ29" s="25" t="n"/>
      <c r="AK29" s="58">
        <f>COUNTIF($E29:$AI29,"A")</f>
        <v/>
      </c>
      <c r="AL29" s="58">
        <f>COUNTIF($E29:$AI29,"B")</f>
        <v/>
      </c>
      <c r="AM29" s="58">
        <f>COUNTIF($E29:$AI29,"D")</f>
        <v/>
      </c>
      <c r="AN29" s="58">
        <f>+COUNTIF($E29:$AI29,"E")</f>
        <v/>
      </c>
      <c r="AO29" s="58">
        <f>COUNTIF($E29:$AI29,"C")</f>
        <v/>
      </c>
      <c r="AP29" s="58">
        <f>COUNTIF($E29:$AI29,"夜")</f>
        <v/>
      </c>
      <c r="AQ29" s="58">
        <f>COUNTIF($E29:$AI29,"明")</f>
        <v/>
      </c>
      <c r="AR29" s="58">
        <f>COUNTIF($E29:$AI29,"研")+COUNTIF($E29:$AI29,"健")</f>
        <v/>
      </c>
      <c r="AS29" s="58">
        <f>COUNTIF($E29:$AI29,"調1")</f>
        <v/>
      </c>
      <c r="AT29" s="58">
        <f>COUNTIF($E29:$AI29,"調2")</f>
        <v/>
      </c>
      <c r="AU29" s="58">
        <f>COUNTIF($E29:$AI29,"有")</f>
        <v/>
      </c>
      <c r="AV29" s="58">
        <f>COUNTIF($E29:$AI29,"休")+COUNTIF($E29:$AI29,"希")</f>
        <v/>
      </c>
      <c r="AW29" s="23">
        <f>SUM(AK29:AU29)</f>
        <v/>
      </c>
      <c r="AX29" s="23" t="n"/>
      <c r="AY29" s="78">
        <f>IF($AY$3=2,IF(AV29=8,"OK","NG"),IF(AV29=9,"OK","NG"))</f>
        <v/>
      </c>
    </row>
    <row r="30" ht="35" customHeight="1" s="447" thickBot="1">
      <c r="A30" s="5" t="n"/>
      <c r="B30" s="51" t="inlineStr">
        <is>
          <t>調理職員</t>
        </is>
      </c>
      <c r="C30" s="115" t="inlineStr">
        <is>
          <t>常勤/専従</t>
        </is>
      </c>
      <c r="D30" s="48" t="inlineStr">
        <is>
          <t>花田　友代</t>
        </is>
      </c>
      <c r="E30" s="34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88" t="n"/>
      <c r="U30" s="35" t="n"/>
      <c r="V30" s="35" t="n"/>
      <c r="W30" s="35" t="n"/>
      <c r="X30" s="35" t="n"/>
      <c r="Y30" s="88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76" t="n"/>
      <c r="AJ30" s="15" t="n"/>
      <c r="AK30" s="58">
        <f>COUNTIF($E30:$AI30,"A")</f>
        <v/>
      </c>
      <c r="AL30" s="58">
        <f>COUNTIF($E30:$AI30,"B")</f>
        <v/>
      </c>
      <c r="AM30" s="58">
        <f>COUNTIF($E30:$AI30,"D")</f>
        <v/>
      </c>
      <c r="AN30" s="58">
        <f>+COUNTIF($E30:$AI30,"E")</f>
        <v/>
      </c>
      <c r="AO30" s="58">
        <f>COUNTIF($E30:$AI30,"C")</f>
        <v/>
      </c>
      <c r="AP30" s="58">
        <f>COUNTIF($E30:$AI30,"夜")</f>
        <v/>
      </c>
      <c r="AQ30" s="58">
        <f>COUNTIF($E30:$AI30,"明")</f>
        <v/>
      </c>
      <c r="AR30" s="58">
        <f>COUNTIF($E30:$AI30,"研")+COUNTIF($E30:$AI30,"健")</f>
        <v/>
      </c>
      <c r="AS30" s="58">
        <f>COUNTIF($E30:$AI30,"調1")</f>
        <v/>
      </c>
      <c r="AT30" s="58">
        <f>COUNTIF($E30:$AI30,"調2")</f>
        <v/>
      </c>
      <c r="AU30" s="58">
        <f>COUNTIF($E30:$AI30,"有")</f>
        <v/>
      </c>
      <c r="AV30" s="58">
        <f>COUNTIF($E30:$AI30,"休")+COUNTIF($E30:$AI30,"希")</f>
        <v/>
      </c>
      <c r="AW30" s="23">
        <f>SUM(AK30:AU30)</f>
        <v/>
      </c>
      <c r="AX30" s="23" t="n"/>
      <c r="AY30" s="78">
        <f>IF($AY$3=2,IF(AV30=8,"OK","NG"),IF(AV30=9,"OK","NG"))</f>
        <v/>
      </c>
    </row>
    <row r="31" ht="34.5" customHeight="1" s="447" thickBot="1">
      <c r="A31" s="5" t="n"/>
      <c r="B31" s="55" t="n"/>
      <c r="C31" s="55" t="n"/>
      <c r="D31" s="27" t="n"/>
      <c r="E31" s="56" t="n"/>
      <c r="F31" s="26" t="n"/>
      <c r="G31" s="26" t="n"/>
      <c r="H31" s="57" t="n"/>
      <c r="I31" s="26" t="n"/>
      <c r="J31" s="57" t="n"/>
      <c r="K31" s="27" t="n"/>
      <c r="L31" s="27" t="n"/>
      <c r="M31" s="56" t="n"/>
      <c r="N31" s="26" t="n"/>
      <c r="O31" s="26" t="n"/>
      <c r="P31" s="26" t="n"/>
      <c r="Q31" s="26" t="n"/>
      <c r="R31" s="57" t="n"/>
      <c r="S31" s="27" t="n"/>
      <c r="T31" s="56" t="n"/>
      <c r="U31" s="27" t="n"/>
      <c r="V31" s="27" t="n"/>
      <c r="W31" s="27" t="n"/>
      <c r="X31" s="27" t="n"/>
      <c r="Y31" s="26" t="n"/>
      <c r="Z31" s="26" t="n"/>
      <c r="AA31" s="26" t="n"/>
      <c r="AB31" s="26" t="n"/>
      <c r="AC31" s="56" t="n"/>
      <c r="AD31" s="26" t="n"/>
      <c r="AE31" s="26" t="n"/>
      <c r="AF31" s="26" t="n"/>
      <c r="AG31" s="26" t="n"/>
      <c r="AH31" s="55" t="n"/>
      <c r="AI31" s="55" t="n"/>
      <c r="AJ31" s="5" t="n"/>
      <c r="AK31" s="54" t="n"/>
      <c r="AL31" s="59" t="n"/>
      <c r="AM31" s="59" t="n"/>
      <c r="AN31" s="59" t="n"/>
      <c r="AO31" s="54" t="n"/>
      <c r="AP31" s="60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" t="n"/>
    </row>
    <row r="32" ht="34.5" customHeight="1" s="447">
      <c r="A32" s="5" t="n"/>
      <c r="B32" s="418" t="inlineStr">
        <is>
          <t>介護職員条件満たしているか</t>
        </is>
      </c>
      <c r="C32" s="421" t="inlineStr">
        <is>
          <t>A(9:30-17:30)</t>
        </is>
      </c>
      <c r="D32" s="481" t="n"/>
      <c r="E32" s="62">
        <f>COUNTIF(E$7:E$17,"A")</f>
        <v/>
      </c>
      <c r="F32" s="62">
        <f>COUNTIF(F$7:F$17,"A")</f>
        <v/>
      </c>
      <c r="G32" s="62">
        <f>COUNTIF(G$7:G$17,"A")</f>
        <v/>
      </c>
      <c r="H32" s="62">
        <f>COUNTIF(H$7:H$17,"A")</f>
        <v/>
      </c>
      <c r="I32" s="62">
        <f>COUNTIF(I$7:I$17,"A")</f>
        <v/>
      </c>
      <c r="J32" s="62">
        <f>COUNTIF(J$7:J$17,"A")</f>
        <v/>
      </c>
      <c r="K32" s="62">
        <f>COUNTIF(K$7:K$17,"A")</f>
        <v/>
      </c>
      <c r="L32" s="62">
        <f>COUNTIF(L$7:L$17,"A")</f>
        <v/>
      </c>
      <c r="M32" s="62">
        <f>COUNTIF(M$7:M$17,"A")</f>
        <v/>
      </c>
      <c r="N32" s="62">
        <f>COUNTIF(N$7:N$17,"A")</f>
        <v/>
      </c>
      <c r="O32" s="62">
        <f>COUNTIF(O$7:O$17,"A")</f>
        <v/>
      </c>
      <c r="P32" s="62">
        <f>COUNTIF(P$7:P$17,"A")</f>
        <v/>
      </c>
      <c r="Q32" s="62">
        <f>COUNTIF(Q$7:Q$17,"A")</f>
        <v/>
      </c>
      <c r="R32" s="62">
        <f>COUNTIF(R$7:R$17,"A")</f>
        <v/>
      </c>
      <c r="S32" s="62">
        <f>COUNTIF(S$7:S$17,"A")</f>
        <v/>
      </c>
      <c r="T32" s="62">
        <f>COUNTIF(T$7:T$17,"A")</f>
        <v/>
      </c>
      <c r="U32" s="62">
        <f>COUNTIF(U$7:U$17,"A")</f>
        <v/>
      </c>
      <c r="V32" s="62">
        <f>COUNTIF(V$7:V$17,"A")</f>
        <v/>
      </c>
      <c r="W32" s="62">
        <f>COUNTIF(W$7:W$17,"A")</f>
        <v/>
      </c>
      <c r="X32" s="62">
        <f>COUNTIF(X$7:X$17,"A")</f>
        <v/>
      </c>
      <c r="Y32" s="62">
        <f>COUNTIF(Y$7:Y$17,"A")</f>
        <v/>
      </c>
      <c r="Z32" s="62">
        <f>COUNTIF(Z$7:Z$17,"A")</f>
        <v/>
      </c>
      <c r="AA32" s="62">
        <f>COUNTIF(AA$7:AA$17,"A")</f>
        <v/>
      </c>
      <c r="AB32" s="62">
        <f>COUNTIF(AB$7:AB$17,"A")</f>
        <v/>
      </c>
      <c r="AC32" s="62">
        <f>COUNTIF(AC$7:AC$17,"A")</f>
        <v/>
      </c>
      <c r="AD32" s="62">
        <f>COUNTIF(AD$7:AD$17,"A")</f>
        <v/>
      </c>
      <c r="AE32" s="62">
        <f>COUNTIF(AE$7:AE$17,"A")</f>
        <v/>
      </c>
      <c r="AF32" s="62">
        <f>COUNTIF(AF$7:AF$17,"A")</f>
        <v/>
      </c>
      <c r="AG32" s="62">
        <f>COUNTIF(AG$7:AG$17,"A")</f>
        <v/>
      </c>
      <c r="AH32" s="62">
        <f>COUNTIF(AH$7:AH$17,"A")</f>
        <v/>
      </c>
      <c r="AI32" s="62">
        <f>COUNTIF(AI$7:AI$17,"A")</f>
        <v/>
      </c>
      <c r="AJ32" s="61" t="n"/>
      <c r="AK32" s="54" t="n"/>
      <c r="AL32" s="59" t="n"/>
      <c r="AM32" s="59" t="n"/>
      <c r="AN32" s="59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" t="n"/>
    </row>
    <row r="33" ht="34.5" customHeight="1" s="447">
      <c r="A33" s="5" t="n"/>
      <c r="B33" s="460" t="n"/>
      <c r="C33" s="423" t="inlineStr">
        <is>
          <t>B(7:00-16:00)</t>
        </is>
      </c>
      <c r="D33" s="474" t="n"/>
      <c r="E33" s="62">
        <f>COUNTIF(E$7:E$17,"B")</f>
        <v/>
      </c>
      <c r="F33" s="62">
        <f>COUNTIF(F$7:F$17,"B")</f>
        <v/>
      </c>
      <c r="G33" s="62">
        <f>COUNTIF(G$7:G$17,"B")</f>
        <v/>
      </c>
      <c r="H33" s="62">
        <f>COUNTIF(H$7:H$17,"B")</f>
        <v/>
      </c>
      <c r="I33" s="62">
        <f>COUNTIF(I$7:I$17,"B")</f>
        <v/>
      </c>
      <c r="J33" s="62">
        <f>COUNTIF(J$7:J$17,"B")</f>
        <v/>
      </c>
      <c r="K33" s="62">
        <f>COUNTIF(K$7:K$17,"B")</f>
        <v/>
      </c>
      <c r="L33" s="62">
        <f>COUNTIF(L$7:L$17,"B")</f>
        <v/>
      </c>
      <c r="M33" s="62">
        <f>COUNTIF(M$7:M$17,"B")</f>
        <v/>
      </c>
      <c r="N33" s="62">
        <f>COUNTIF(N$7:N$17,"B")</f>
        <v/>
      </c>
      <c r="O33" s="62">
        <f>COUNTIF(O$7:O$17,"B")</f>
        <v/>
      </c>
      <c r="P33" s="62">
        <f>COUNTIF(P$7:P$17,"B")</f>
        <v/>
      </c>
      <c r="Q33" s="62">
        <f>COUNTIF(Q$7:Q$17,"B")</f>
        <v/>
      </c>
      <c r="R33" s="62">
        <f>COUNTIF(R$7:R$17,"B")</f>
        <v/>
      </c>
      <c r="S33" s="62">
        <f>COUNTIF(S$7:S$17,"B")</f>
        <v/>
      </c>
      <c r="T33" s="62">
        <f>COUNTIF(T$7:T$17,"B")</f>
        <v/>
      </c>
      <c r="U33" s="62">
        <f>COUNTIF(U$7:U$17,"B")</f>
        <v/>
      </c>
      <c r="V33" s="62">
        <f>COUNTIF(V$7:V$17,"B")</f>
        <v/>
      </c>
      <c r="W33" s="62">
        <f>COUNTIF(W$7:W$17,"B")</f>
        <v/>
      </c>
      <c r="X33" s="62">
        <f>COUNTIF(X$7:X$17,"B")</f>
        <v/>
      </c>
      <c r="Y33" s="62">
        <f>COUNTIF(Y$7:Y$17,"B")</f>
        <v/>
      </c>
      <c r="Z33" s="62">
        <f>COUNTIF(Z$7:Z$17,"B")</f>
        <v/>
      </c>
      <c r="AA33" s="62">
        <f>COUNTIF(AA$7:AA$17,"B")</f>
        <v/>
      </c>
      <c r="AB33" s="62">
        <f>COUNTIF(AB$7:AB$17,"B")</f>
        <v/>
      </c>
      <c r="AC33" s="62">
        <f>COUNTIF(AC$7:AC$17,"B")</f>
        <v/>
      </c>
      <c r="AD33" s="62">
        <f>COUNTIF(AD$7:AD$17,"B")</f>
        <v/>
      </c>
      <c r="AE33" s="62">
        <f>COUNTIF(AE$7:AE$17,"B")</f>
        <v/>
      </c>
      <c r="AF33" s="62">
        <f>COUNTIF(AF$7:AF$17,"B")</f>
        <v/>
      </c>
      <c r="AG33" s="62">
        <f>COUNTIF(AG$7:AG$17,"B")</f>
        <v/>
      </c>
      <c r="AH33" s="62">
        <f>COUNTIF(AH$7:AH$17,"B")</f>
        <v/>
      </c>
      <c r="AI33" s="62">
        <f>COUNTIF(AI$7:AI$17,"B")</f>
        <v/>
      </c>
      <c r="AJ33" s="61" t="n"/>
      <c r="AK33" s="54" t="n"/>
      <c r="AL33" s="59" t="n"/>
      <c r="AM33" s="59" t="n"/>
      <c r="AN33" s="59" t="n"/>
      <c r="AO33" s="54" t="n"/>
      <c r="AP33" s="60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" t="n"/>
    </row>
    <row r="34" ht="34.5" customHeight="1" s="447">
      <c r="A34" s="5" t="n"/>
      <c r="B34" s="460" t="n"/>
      <c r="C34" s="423" t="inlineStr">
        <is>
          <t>C(12:30-20:30)</t>
        </is>
      </c>
      <c r="D34" s="474" t="n"/>
      <c r="E34" s="62">
        <f>COUNTIF(E$7:E$17,"C")</f>
        <v/>
      </c>
      <c r="F34" s="62">
        <f>COUNTIF(F$7:F$17,"C")</f>
        <v/>
      </c>
      <c r="G34" s="62">
        <f>COUNTIF(G$7:G$17,"C")</f>
        <v/>
      </c>
      <c r="H34" s="62">
        <f>COUNTIF(H$7:H$17,"C")</f>
        <v/>
      </c>
      <c r="I34" s="62">
        <f>COUNTIF(I$7:I$17,"C")</f>
        <v/>
      </c>
      <c r="J34" s="62">
        <f>COUNTIF(J$7:J$17,"C")</f>
        <v/>
      </c>
      <c r="K34" s="62">
        <f>COUNTIF(K$7:K$17,"C")</f>
        <v/>
      </c>
      <c r="L34" s="62">
        <f>COUNTIF(L$7:L$17,"C")</f>
        <v/>
      </c>
      <c r="M34" s="62">
        <f>COUNTIF(M$7:M$17,"C")</f>
        <v/>
      </c>
      <c r="N34" s="62">
        <f>COUNTIF(N$7:N$17,"C")</f>
        <v/>
      </c>
      <c r="O34" s="62">
        <f>COUNTIF(O$7:O$17,"C")</f>
        <v/>
      </c>
      <c r="P34" s="62">
        <f>COUNTIF(P$7:P$17,"C")</f>
        <v/>
      </c>
      <c r="Q34" s="62">
        <f>COUNTIF(Q$7:Q$17,"C")</f>
        <v/>
      </c>
      <c r="R34" s="62">
        <f>COUNTIF(R$7:R$17,"C")</f>
        <v/>
      </c>
      <c r="S34" s="62">
        <f>COUNTIF(S$7:S$17,"C")</f>
        <v/>
      </c>
      <c r="T34" s="62">
        <f>COUNTIF(T$7:T$17,"C")</f>
        <v/>
      </c>
      <c r="U34" s="62">
        <f>COUNTIF(U$7:U$17,"C")</f>
        <v/>
      </c>
      <c r="V34" s="62">
        <f>COUNTIF(V$7:V$17,"C")</f>
        <v/>
      </c>
      <c r="W34" s="62">
        <f>COUNTIF(W$7:W$17,"C")</f>
        <v/>
      </c>
      <c r="X34" s="62">
        <f>COUNTIF(X$7:X$17,"C")</f>
        <v/>
      </c>
      <c r="Y34" s="62">
        <f>COUNTIF(Y$7:Y$17,"C")</f>
        <v/>
      </c>
      <c r="Z34" s="62">
        <f>COUNTIF(Z$7:Z$17,"C")</f>
        <v/>
      </c>
      <c r="AA34" s="62">
        <f>COUNTIF(AA$7:AA$17,"C")</f>
        <v/>
      </c>
      <c r="AB34" s="62">
        <f>COUNTIF(AB$7:AB$17,"C")</f>
        <v/>
      </c>
      <c r="AC34" s="62">
        <f>COUNTIF(AC$7:AC$17,"C")</f>
        <v/>
      </c>
      <c r="AD34" s="62">
        <f>COUNTIF(AD$7:AD$17,"C")</f>
        <v/>
      </c>
      <c r="AE34" s="62">
        <f>COUNTIF(AE$7:AE$17,"C")</f>
        <v/>
      </c>
      <c r="AF34" s="62">
        <f>COUNTIF(AF$7:AF$17,"C")</f>
        <v/>
      </c>
      <c r="AG34" s="62">
        <f>COUNTIF(AG$7:AG$17,"C")</f>
        <v/>
      </c>
      <c r="AH34" s="62">
        <f>COUNTIF(AH$7:AH$17,"C")</f>
        <v/>
      </c>
      <c r="AI34" s="62">
        <f>COUNTIF(AI$7:AI$17,"C")</f>
        <v/>
      </c>
      <c r="AJ34" s="61" t="n"/>
      <c r="AK34" s="54" t="n"/>
      <c r="AL34" s="59" t="n"/>
      <c r="AM34" s="59" t="n"/>
      <c r="AN34" s="59" t="n"/>
      <c r="AO34" s="54" t="n"/>
      <c r="AP34" s="60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" t="n"/>
    </row>
    <row r="35" ht="34.5" customHeight="1" s="447">
      <c r="A35" s="5" t="n"/>
      <c r="B35" s="460" t="n"/>
      <c r="C35" s="423" t="inlineStr">
        <is>
          <t>D(8:30-16:30)</t>
        </is>
      </c>
      <c r="D35" s="474" t="n"/>
      <c r="E35" s="62">
        <f>COUNTIF(E$7:E$17,"D")</f>
        <v/>
      </c>
      <c r="F35" s="62">
        <f>COUNTIF(F$7:F$17,"D")</f>
        <v/>
      </c>
      <c r="G35" s="62">
        <f>COUNTIF(G$7:G$17,"D")</f>
        <v/>
      </c>
      <c r="H35" s="62">
        <f>COUNTIF(H$7:H$17,"D")</f>
        <v/>
      </c>
      <c r="I35" s="62">
        <f>COUNTIF(I$7:I$17,"D")</f>
        <v/>
      </c>
      <c r="J35" s="62">
        <f>COUNTIF(J$7:J$17,"D")</f>
        <v/>
      </c>
      <c r="K35" s="62">
        <f>COUNTIF(K$7:K$17,"D")</f>
        <v/>
      </c>
      <c r="L35" s="62">
        <f>COUNTIF(L$7:L$17,"D")</f>
        <v/>
      </c>
      <c r="M35" s="62">
        <f>COUNTIF(M$7:M$17,"D")</f>
        <v/>
      </c>
      <c r="N35" s="62">
        <f>COUNTIF(N$7:N$17,"D")</f>
        <v/>
      </c>
      <c r="O35" s="62">
        <f>COUNTIF(O$7:O$17,"D")</f>
        <v/>
      </c>
      <c r="P35" s="62">
        <f>COUNTIF(P$7:P$17,"D")</f>
        <v/>
      </c>
      <c r="Q35" s="62">
        <f>COUNTIF(Q$7:Q$17,"D")</f>
        <v/>
      </c>
      <c r="R35" s="62">
        <f>COUNTIF(R$7:R$17,"D")</f>
        <v/>
      </c>
      <c r="S35" s="62">
        <f>COUNTIF(S$7:S$17,"D")</f>
        <v/>
      </c>
      <c r="T35" s="62">
        <f>COUNTIF(T$7:T$17,"D")</f>
        <v/>
      </c>
      <c r="U35" s="62">
        <f>COUNTIF(U$7:U$17,"D")</f>
        <v/>
      </c>
      <c r="V35" s="62">
        <f>COUNTIF(V$7:V$17,"D")</f>
        <v/>
      </c>
      <c r="W35" s="62">
        <f>COUNTIF(W$7:W$17,"D")</f>
        <v/>
      </c>
      <c r="X35" s="62">
        <f>COUNTIF(X$7:X$17,"D")</f>
        <v/>
      </c>
      <c r="Y35" s="62">
        <f>COUNTIF(Y$7:Y$17,"D")</f>
        <v/>
      </c>
      <c r="Z35" s="62">
        <f>COUNTIF(Z$7:Z$17,"D")</f>
        <v/>
      </c>
      <c r="AA35" s="62">
        <f>COUNTIF(AA$7:AA$17,"D")</f>
        <v/>
      </c>
      <c r="AB35" s="62">
        <f>COUNTIF(AB$7:AB$17,"D")</f>
        <v/>
      </c>
      <c r="AC35" s="62">
        <f>COUNTIF(AC$7:AC$17,"D")</f>
        <v/>
      </c>
      <c r="AD35" s="62">
        <f>COUNTIF(AD$7:AD$17,"D")</f>
        <v/>
      </c>
      <c r="AE35" s="62">
        <f>COUNTIF(AE$7:AE$17,"D")</f>
        <v/>
      </c>
      <c r="AF35" s="62">
        <f>COUNTIF(AF$7:AF$17,"D")</f>
        <v/>
      </c>
      <c r="AG35" s="62">
        <f>COUNTIF(AG$7:AG$17,"D")</f>
        <v/>
      </c>
      <c r="AH35" s="62">
        <f>COUNTIF(AH$7:AH$17,"D")</f>
        <v/>
      </c>
      <c r="AI35" s="62">
        <f>COUNTIF(AI$7:AI$17,"D")</f>
        <v/>
      </c>
      <c r="AJ35" s="61" t="n"/>
      <c r="AK35" s="54" t="n"/>
      <c r="AL35" s="59" t="n"/>
      <c r="AM35" s="59" t="n"/>
      <c r="AN35" s="59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" t="n"/>
    </row>
    <row r="36" ht="34.5" customHeight="1" s="447">
      <c r="A36" s="5" t="n"/>
      <c r="B36" s="460" t="n"/>
      <c r="C36" s="423" t="inlineStr">
        <is>
          <t>夜勤(17:00-1:00)</t>
        </is>
      </c>
      <c r="D36" s="474" t="n"/>
      <c r="E36" s="62">
        <f>COUNTIF(E$7:E$17,"夜")</f>
        <v/>
      </c>
      <c r="F36" s="62">
        <f>COUNTIF(F$7:F$17,"夜")</f>
        <v/>
      </c>
      <c r="G36" s="62">
        <f>COUNTIF(G$7:G$17,"夜")</f>
        <v/>
      </c>
      <c r="H36" s="62">
        <f>COUNTIF(H$7:H$17,"夜")</f>
        <v/>
      </c>
      <c r="I36" s="62">
        <f>COUNTIF(I$7:I$17,"夜")</f>
        <v/>
      </c>
      <c r="J36" s="62">
        <f>COUNTIF(J$7:J$17,"夜")</f>
        <v/>
      </c>
      <c r="K36" s="62">
        <f>COUNTIF(K$7:K$17,"夜")</f>
        <v/>
      </c>
      <c r="L36" s="62">
        <f>COUNTIF(L$7:L$17,"夜")</f>
        <v/>
      </c>
      <c r="M36" s="62">
        <f>COUNTIF(M$7:M$17,"夜")</f>
        <v/>
      </c>
      <c r="N36" s="62">
        <f>COUNTIF(N$7:N$17,"夜")</f>
        <v/>
      </c>
      <c r="O36" s="62">
        <f>COUNTIF(O$7:O$17,"夜")</f>
        <v/>
      </c>
      <c r="P36" s="62">
        <f>COUNTIF(P$7:P$17,"夜")</f>
        <v/>
      </c>
      <c r="Q36" s="62">
        <f>COUNTIF(Q$7:Q$17,"夜")</f>
        <v/>
      </c>
      <c r="R36" s="62">
        <f>COUNTIF(R$7:R$17,"夜")</f>
        <v/>
      </c>
      <c r="S36" s="62">
        <f>COUNTIF(S$7:S$17,"夜")</f>
        <v/>
      </c>
      <c r="T36" s="62">
        <f>COUNTIF(T$7:T$17,"夜")</f>
        <v/>
      </c>
      <c r="U36" s="62">
        <f>COUNTIF(U$7:U$17,"夜")</f>
        <v/>
      </c>
      <c r="V36" s="62">
        <f>COUNTIF(V$7:V$17,"夜")</f>
        <v/>
      </c>
      <c r="W36" s="62">
        <f>COUNTIF(W$7:W$17,"夜")</f>
        <v/>
      </c>
      <c r="X36" s="62">
        <f>COUNTIF(X$7:X$17,"夜")</f>
        <v/>
      </c>
      <c r="Y36" s="62">
        <f>COUNTIF(Y$7:Y$17,"夜")</f>
        <v/>
      </c>
      <c r="Z36" s="62">
        <f>COUNTIF(Z$7:Z$17,"夜")</f>
        <v/>
      </c>
      <c r="AA36" s="62">
        <f>COUNTIF(AA$7:AA$17,"夜")</f>
        <v/>
      </c>
      <c r="AB36" s="62">
        <f>COUNTIF(AB$7:AB$17,"夜")</f>
        <v/>
      </c>
      <c r="AC36" s="62">
        <f>COUNTIF(AC$7:AC$17,"夜")</f>
        <v/>
      </c>
      <c r="AD36" s="62">
        <f>COUNTIF(AD$7:AD$17,"夜")</f>
        <v/>
      </c>
      <c r="AE36" s="62">
        <f>COUNTIF(AE$7:AE$17,"夜")</f>
        <v/>
      </c>
      <c r="AF36" s="62">
        <f>COUNTIF(AF$7:AF$17,"夜")</f>
        <v/>
      </c>
      <c r="AG36" s="62">
        <f>COUNTIF(AG$7:AG$17,"夜")</f>
        <v/>
      </c>
      <c r="AH36" s="62">
        <f>COUNTIF(AH$7:AH$17,"夜")</f>
        <v/>
      </c>
      <c r="AI36" s="62">
        <f>COUNTIF(AI$7:AI$17,"夜")</f>
        <v/>
      </c>
      <c r="AJ36" s="61" t="n"/>
      <c r="AK36" s="5" t="n"/>
      <c r="AL36" s="59" t="n"/>
      <c r="AM36" s="59" t="n"/>
      <c r="AN36" s="59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</row>
    <row r="37" ht="34.5" customHeight="1" s="447">
      <c r="A37" s="5" t="n"/>
      <c r="B37" s="460" t="n"/>
      <c r="C37" s="423" t="inlineStr">
        <is>
          <t>明け(1:00-9:00)</t>
        </is>
      </c>
      <c r="D37" s="474" t="n"/>
      <c r="E37" s="62">
        <f>COUNTIF(E$7:E$17,"明")</f>
        <v/>
      </c>
      <c r="F37" s="62">
        <f>COUNTIF(F$7:F$17,"明")</f>
        <v/>
      </c>
      <c r="G37" s="62">
        <f>COUNTIF(G$7:G$17,"明")</f>
        <v/>
      </c>
      <c r="H37" s="62">
        <f>COUNTIF(H$7:H$17,"明")</f>
        <v/>
      </c>
      <c r="I37" s="62">
        <f>COUNTIF(I$7:I$17,"明")</f>
        <v/>
      </c>
      <c r="J37" s="62">
        <f>COUNTIF(J$7:J$17,"明")</f>
        <v/>
      </c>
      <c r="K37" s="62">
        <f>COUNTIF(K$7:K$17,"明")</f>
        <v/>
      </c>
      <c r="L37" s="62">
        <f>COUNTIF(L$7:L$17,"明")</f>
        <v/>
      </c>
      <c r="M37" s="62">
        <f>COUNTIF(M$7:M$17,"明")</f>
        <v/>
      </c>
      <c r="N37" s="62">
        <f>COUNTIF(N$7:N$17,"明")</f>
        <v/>
      </c>
      <c r="O37" s="62">
        <f>COUNTIF(O$7:O$17,"明")</f>
        <v/>
      </c>
      <c r="P37" s="62">
        <f>COUNTIF(P$7:P$17,"明")</f>
        <v/>
      </c>
      <c r="Q37" s="62">
        <f>COUNTIF(Q$7:Q$17,"明")</f>
        <v/>
      </c>
      <c r="R37" s="62">
        <f>COUNTIF(R$7:R$17,"明")</f>
        <v/>
      </c>
      <c r="S37" s="62">
        <f>COUNTIF(S$7:S$17,"明")</f>
        <v/>
      </c>
      <c r="T37" s="62">
        <f>COUNTIF(T$7:T$17,"明")</f>
        <v/>
      </c>
      <c r="U37" s="62">
        <f>COUNTIF(U$7:U$17,"明")</f>
        <v/>
      </c>
      <c r="V37" s="62">
        <f>COUNTIF(V$7:V$17,"明")</f>
        <v/>
      </c>
      <c r="W37" s="62">
        <f>COUNTIF(W$7:W$17,"明")</f>
        <v/>
      </c>
      <c r="X37" s="62">
        <f>COUNTIF(X$7:X$17,"明")</f>
        <v/>
      </c>
      <c r="Y37" s="62">
        <f>COUNTIF(Y$7:Y$17,"明")</f>
        <v/>
      </c>
      <c r="Z37" s="62">
        <f>COUNTIF(Z$7:Z$17,"明")</f>
        <v/>
      </c>
      <c r="AA37" s="62">
        <f>COUNTIF(AA$7:AA$17,"明")</f>
        <v/>
      </c>
      <c r="AB37" s="62">
        <f>COUNTIF(AB$7:AB$17,"明")</f>
        <v/>
      </c>
      <c r="AC37" s="62">
        <f>COUNTIF(AC$7:AC$17,"明")</f>
        <v/>
      </c>
      <c r="AD37" s="62">
        <f>COUNTIF(AD$7:AD$17,"明")</f>
        <v/>
      </c>
      <c r="AE37" s="62">
        <f>COUNTIF(AE$7:AE$17,"明")</f>
        <v/>
      </c>
      <c r="AF37" s="62">
        <f>COUNTIF(AF$7:AF$17,"明")</f>
        <v/>
      </c>
      <c r="AG37" s="62">
        <f>COUNTIF(AG$7:AG$17,"明")</f>
        <v/>
      </c>
      <c r="AH37" s="62">
        <f>COUNTIF(AH$7:AH$17,"明")</f>
        <v/>
      </c>
      <c r="AI37" s="62">
        <f>COUNTIF(AI$7:AI$17,"明")</f>
        <v/>
      </c>
      <c r="AJ37" s="61" t="n"/>
      <c r="AK37" s="5" t="n"/>
      <c r="AL37" s="59" t="n"/>
      <c r="AM37" s="59" t="n"/>
      <c r="AN37" s="59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</row>
    <row r="38" ht="34.5" customHeight="1" s="447">
      <c r="A38" s="5" t="n"/>
      <c r="B38" s="460" t="n"/>
      <c r="C38" s="426" t="inlineStr">
        <is>
          <t>出勤合計</t>
        </is>
      </c>
      <c r="D38" s="474" t="n"/>
      <c r="E38" s="62">
        <f>SUM(E32:E37)</f>
        <v/>
      </c>
      <c r="F38" s="62">
        <f>SUM(F32:F37)</f>
        <v/>
      </c>
      <c r="G38" s="62">
        <f>SUM(G32:G37)</f>
        <v/>
      </c>
      <c r="H38" s="62">
        <f>SUM(H32:H37)</f>
        <v/>
      </c>
      <c r="I38" s="62">
        <f>SUM(I32:I37)</f>
        <v/>
      </c>
      <c r="J38" s="62">
        <f>SUM(J32:J37)</f>
        <v/>
      </c>
      <c r="K38" s="62">
        <f>SUM(K32:K37)</f>
        <v/>
      </c>
      <c r="L38" s="62">
        <f>SUM(L32:L37)</f>
        <v/>
      </c>
      <c r="M38" s="62">
        <f>SUM(M32:M37)</f>
        <v/>
      </c>
      <c r="N38" s="62">
        <f>SUM(N32:N37)</f>
        <v/>
      </c>
      <c r="O38" s="62">
        <f>SUM(O32:O37)</f>
        <v/>
      </c>
      <c r="P38" s="62">
        <f>SUM(P32:P37)</f>
        <v/>
      </c>
      <c r="Q38" s="62">
        <f>SUM(Q32:Q37)</f>
        <v/>
      </c>
      <c r="R38" s="62">
        <f>SUM(R32:R37)</f>
        <v/>
      </c>
      <c r="S38" s="62">
        <f>SUM(S32:S37)</f>
        <v/>
      </c>
      <c r="T38" s="62">
        <f>SUM(T32:T37)</f>
        <v/>
      </c>
      <c r="U38" s="62">
        <f>SUM(U32:U37)</f>
        <v/>
      </c>
      <c r="V38" s="62">
        <f>SUM(V32:V37)</f>
        <v/>
      </c>
      <c r="W38" s="62">
        <f>SUM(W32:W37)</f>
        <v/>
      </c>
      <c r="X38" s="62">
        <f>SUM(X32:X37)</f>
        <v/>
      </c>
      <c r="Y38" s="62">
        <f>SUM(Y32:Y37)</f>
        <v/>
      </c>
      <c r="Z38" s="62">
        <f>SUM(Z32:Z37)</f>
        <v/>
      </c>
      <c r="AA38" s="62">
        <f>SUM(AA32:AA37)</f>
        <v/>
      </c>
      <c r="AB38" s="62">
        <f>SUM(AB32:AB37)</f>
        <v/>
      </c>
      <c r="AC38" s="62">
        <f>SUM(AC32:AC37)</f>
        <v/>
      </c>
      <c r="AD38" s="62">
        <f>SUM(AD32:AD37)</f>
        <v/>
      </c>
      <c r="AE38" s="62">
        <f>SUM(AE32:AE37)</f>
        <v/>
      </c>
      <c r="AF38" s="62">
        <f>SUM(AF32:AF37)</f>
        <v/>
      </c>
      <c r="AG38" s="62">
        <f>SUM(AG32:AG37)</f>
        <v/>
      </c>
      <c r="AH38" s="62">
        <f>SUM(AH32:AH37)</f>
        <v/>
      </c>
      <c r="AI38" s="62">
        <f>SUM(AI32:AI37)</f>
        <v/>
      </c>
      <c r="AJ38" s="61" t="n"/>
      <c r="AK38" s="4" t="n"/>
      <c r="AL38" s="59" t="n"/>
      <c r="AM38" s="59" t="n"/>
      <c r="AN38" s="59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</row>
    <row r="39" ht="34.5" customHeight="1" s="447">
      <c r="A39" s="5" t="n"/>
      <c r="B39" s="460" t="n"/>
      <c r="C39" s="426" t="inlineStr">
        <is>
          <t>休日・有給</t>
        </is>
      </c>
      <c r="D39" s="474" t="n"/>
      <c r="E39" s="62">
        <f>COUNTIF(E$7:E$17,"休")+COUNTIF(E$7:E$17,"希")+COUNTIF(E$7:E$17,"有")</f>
        <v/>
      </c>
      <c r="F39" s="62">
        <f>COUNTIF(F$7:F$17,"休")+COUNTIF(F$7:F$17,"希")+COUNTIF(F$7:F$17,"有")</f>
        <v/>
      </c>
      <c r="G39" s="62">
        <f>COUNTIF(G$7:G$17,"休")+COUNTIF(G$7:G$17,"希")+COUNTIF(G$7:G$17,"有")</f>
        <v/>
      </c>
      <c r="H39" s="62">
        <f>COUNTIF(H$7:H$17,"休")+COUNTIF(H$7:H$17,"希")+COUNTIF(H$7:H$17,"有")</f>
        <v/>
      </c>
      <c r="I39" s="62">
        <f>COUNTIF(I$7:I$17,"休")+COUNTIF(I$7:I$17,"希")+COUNTIF(I$7:I$17,"有")</f>
        <v/>
      </c>
      <c r="J39" s="62">
        <f>COUNTIF(J$7:J$17,"休")+COUNTIF(J$7:J$17,"希")+COUNTIF(J$7:J$17,"有")</f>
        <v/>
      </c>
      <c r="K39" s="62">
        <f>COUNTIF(K$7:K$17,"休")+COUNTIF(K$7:K$17,"希")+COUNTIF(K$7:K$17,"有")</f>
        <v/>
      </c>
      <c r="L39" s="62">
        <f>COUNTIF(L$7:L$17,"休")+COUNTIF(L$7:L$17,"希")+COUNTIF(L$7:L$17,"有")</f>
        <v/>
      </c>
      <c r="M39" s="62">
        <f>COUNTIF(M$7:M$17,"休")+COUNTIF(M$7:M$17,"希")+COUNTIF(M$7:M$17,"有")</f>
        <v/>
      </c>
      <c r="N39" s="62">
        <f>COUNTIF(N$7:N$17,"休")+COUNTIF(N$7:N$17,"希")+COUNTIF(N$7:N$17,"有")</f>
        <v/>
      </c>
      <c r="O39" s="62">
        <f>COUNTIF(O$7:O$17,"休")+COUNTIF(O$7:O$17,"希")+COUNTIF(O$7:O$17,"有")</f>
        <v/>
      </c>
      <c r="P39" s="62">
        <f>COUNTIF(P$7:P$17,"休")+COUNTIF(P$7:P$17,"希")+COUNTIF(P$7:P$17,"有")</f>
        <v/>
      </c>
      <c r="Q39" s="62">
        <f>COUNTIF(Q$7:Q$17,"休")+COUNTIF(Q$7:Q$17,"希")+COUNTIF(Q$7:Q$17,"有")</f>
        <v/>
      </c>
      <c r="R39" s="62">
        <f>COUNTIF(R$7:R$17,"休")+COUNTIF(R$7:R$17,"希")+COUNTIF(R$7:R$17,"有")</f>
        <v/>
      </c>
      <c r="S39" s="62">
        <f>COUNTIF(S$7:S$17,"休")+COUNTIF(S$7:S$17,"希")+COUNTIF(S$7:S$17,"有")</f>
        <v/>
      </c>
      <c r="T39" s="62">
        <f>COUNTIF(T$7:T$17,"休")+COUNTIF(T$7:T$17,"希")+COUNTIF(T$7:T$17,"有")</f>
        <v/>
      </c>
      <c r="U39" s="62">
        <f>COUNTIF(U$7:U$17,"休")+COUNTIF(U$7:U$17,"希")+COUNTIF(U$7:U$17,"有")</f>
        <v/>
      </c>
      <c r="V39" s="62">
        <f>COUNTIF(V$7:V$17,"休")+COUNTIF(V$7:V$17,"希")+COUNTIF(V$7:V$17,"有")</f>
        <v/>
      </c>
      <c r="W39" s="62">
        <f>COUNTIF(W$7:W$17,"休")+COUNTIF(W$7:W$17,"希")+COUNTIF(W$7:W$17,"有")</f>
        <v/>
      </c>
      <c r="X39" s="62">
        <f>COUNTIF(X$7:X$17,"休")+COUNTIF(X$7:X$17,"希")+COUNTIF(X$7:X$17,"有")</f>
        <v/>
      </c>
      <c r="Y39" s="62">
        <f>COUNTIF(Y$7:Y$17,"休")+COUNTIF(Y$7:Y$17,"希")+COUNTIF(Y$7:Y$17,"有")</f>
        <v/>
      </c>
      <c r="Z39" s="62">
        <f>COUNTIF(Z$7:Z$17,"休")+COUNTIF(Z$7:Z$17,"希")+COUNTIF(Z$7:Z$17,"有")</f>
        <v/>
      </c>
      <c r="AA39" s="62">
        <f>COUNTIF(AA$7:AA$17,"休")+COUNTIF(AA$7:AA$17,"希")+COUNTIF(AA$7:AA$17,"有")</f>
        <v/>
      </c>
      <c r="AB39" s="62">
        <f>COUNTIF(AB$7:AB$17,"休")+COUNTIF(AB$7:AB$17,"希")+COUNTIF(AB$7:AB$17,"有")</f>
        <v/>
      </c>
      <c r="AC39" s="62">
        <f>COUNTIF(AC$7:AC$17,"休")+COUNTIF(AC$7:AC$17,"希")+COUNTIF(AC$7:AC$17,"有")</f>
        <v/>
      </c>
      <c r="AD39" s="62">
        <f>COUNTIF(AD$7:AD$17,"休")+COUNTIF(AD$7:AD$17,"希")+COUNTIF(AD$7:AD$17,"有")</f>
        <v/>
      </c>
      <c r="AE39" s="62">
        <f>COUNTIF(AE$7:AE$17,"休")+COUNTIF(AE$7:AE$17,"希")+COUNTIF(AE$7:AE$17,"有")</f>
        <v/>
      </c>
      <c r="AF39" s="62">
        <f>COUNTIF(AF$7:AF$17,"休")+COUNTIF(AF$7:AF$17,"希")+COUNTIF(AF$7:AF$17,"有")</f>
        <v/>
      </c>
      <c r="AG39" s="62">
        <f>COUNTIF(AG$7:AG$17,"休")+COUNTIF(AG$7:AG$17,"希")+COUNTIF(AG$7:AG$17,"有")</f>
        <v/>
      </c>
      <c r="AH39" s="62">
        <f>COUNTIF(AH$7:AH$17,"休")+COUNTIF(AH$7:AH$17,"希")+COUNTIF(AH$7:AH$17,"有")</f>
        <v/>
      </c>
      <c r="AI39" s="62">
        <f>COUNTIF(AI$7:AI$17,"休")+COUNTIF(AI$7:AI$17,"希")+COUNTIF(AI$7:AI$17,"有")</f>
        <v/>
      </c>
      <c r="AJ39" s="61" t="n"/>
      <c r="AL39" s="59" t="n"/>
      <c r="AM39" s="59" t="n"/>
      <c r="AN39" s="59" t="n"/>
    </row>
    <row r="40" ht="34.5" customHeight="1" s="447" thickBot="1">
      <c r="A40" s="5" t="n"/>
      <c r="B40" s="461" t="n"/>
      <c r="C40" s="428" t="inlineStr">
        <is>
          <t>シフト成立</t>
        </is>
      </c>
      <c r="D40" s="479" t="n"/>
      <c r="E40" s="127">
        <f>IF(OR(AND(E36&gt;0,E37&gt;0,E33&gt;0,E34&gt;0),AND(E36&gt;0,E37&gt;0,E34&gt;0,E35&gt;0)),"成立",IF(OR(AND(E36&gt;0,E37&gt;0,E32&gt;0,E34&gt;0),AND(E36&gt;0,E37&gt;0,E32&gt;0),AND(E36&gt;0,E37&gt;0,E35&gt;0)),"30分残業","不成立"))</f>
        <v/>
      </c>
      <c r="F40" s="127">
        <f>IF(OR(AND(F36&gt;0,F37&gt;0,F33&gt;0,F34&gt;0),AND(F36&gt;0,F37&gt;0,F34&gt;0,F35&gt;0)),"成立",IF(OR(AND(F36&gt;0,F37&gt;0,F32&gt;0,F34&gt;0),AND(F36&gt;0,F37&gt;0,F32&gt;0),AND(F36&gt;0,F37&gt;0,F35&gt;0)),"30分残業","不成立"))</f>
        <v/>
      </c>
      <c r="G40" s="127">
        <f>IF(OR(AND(G36&gt;0,G37&gt;0,G33&gt;0,G34&gt;0),AND(G36&gt;0,G37&gt;0,G34&gt;0,G35&gt;0)),"成立",IF(OR(AND(G36&gt;0,G37&gt;0,G32&gt;0,G34&gt;0),AND(G36&gt;0,G37&gt;0,G32&gt;0),AND(G36&gt;0,G37&gt;0,G35&gt;0)),"30分残業","不成立"))</f>
        <v/>
      </c>
      <c r="H40" s="127">
        <f>IF(OR(AND(H36&gt;0,H37&gt;0,H33&gt;0,H34&gt;0),AND(H36&gt;0,H37&gt;0,H34&gt;0,H35&gt;0)),"成立",IF(OR(AND(H36&gt;0,H37&gt;0,H32&gt;0,H34&gt;0),AND(H36&gt;0,H37&gt;0,H32&gt;0),AND(H36&gt;0,H37&gt;0,H35&gt;0)),"30分残業","不成立"))</f>
        <v/>
      </c>
      <c r="I40" s="127">
        <f>IF(OR(AND(I36&gt;0,I37&gt;0,I33&gt;0,I34&gt;0),AND(I36&gt;0,I37&gt;0,I34&gt;0,I35&gt;0)),"成立",IF(OR(AND(I36&gt;0,I37&gt;0,I32&gt;0,I34&gt;0),AND(I36&gt;0,I37&gt;0,I32&gt;0),AND(I36&gt;0,I37&gt;0,I35&gt;0)),"30分残業","不成立"))</f>
        <v/>
      </c>
      <c r="J40" s="127">
        <f>IF(OR(AND(J36&gt;0,J37&gt;0,J33&gt;0,J34&gt;0),AND(J36&gt;0,J37&gt;0,J34&gt;0,J35&gt;0)),"成立",IF(OR(AND(J36&gt;0,J37&gt;0,J32&gt;0,J34&gt;0),AND(J36&gt;0,J37&gt;0,J32&gt;0),AND(J36&gt;0,J37&gt;0,J35&gt;0)),"30分残業","不成立"))</f>
        <v/>
      </c>
      <c r="K40" s="127">
        <f>IF(OR(AND(K36&gt;0,K37&gt;0,K33&gt;0,K34&gt;0),AND(K36&gt;0,K37&gt;0,K34&gt;0,K35&gt;0)),"成立",IF(OR(AND(K36&gt;0,K37&gt;0,K32&gt;0,K34&gt;0),AND(K36&gt;0,K37&gt;0,K32&gt;0),AND(K36&gt;0,K37&gt;0,K35&gt;0)),"30分残業","不成立"))</f>
        <v/>
      </c>
      <c r="L40" s="127">
        <f>IF(OR(AND(L36&gt;0,L37&gt;0,L33&gt;0,L34&gt;0),AND(L36&gt;0,L37&gt;0,L34&gt;0,L35&gt;0)),"成立",IF(OR(AND(L36&gt;0,L37&gt;0,L32&gt;0,L34&gt;0),AND(L36&gt;0,L37&gt;0,L32&gt;0),AND(L36&gt;0,L37&gt;0,L35&gt;0)),"30分残業","不成立"))</f>
        <v/>
      </c>
      <c r="M40" s="127">
        <f>IF(OR(AND(M36&gt;0,M37&gt;0,M33&gt;0,M34&gt;0),AND(M36&gt;0,M37&gt;0,M34&gt;0,M35&gt;0)),"成立",IF(OR(AND(M36&gt;0,M37&gt;0,M32&gt;0,M34&gt;0),AND(M36&gt;0,M37&gt;0,M32&gt;0),AND(M36&gt;0,M37&gt;0,M35&gt;0)),"30分残業","不成立"))</f>
        <v/>
      </c>
      <c r="N40" s="127">
        <f>IF(OR(AND(N36&gt;0,N37&gt;0,N33&gt;0,N34&gt;0),AND(N36&gt;0,N37&gt;0,N34&gt;0,N35&gt;0)),"成立",IF(OR(AND(N36&gt;0,N37&gt;0,N32&gt;0,N34&gt;0),AND(N36&gt;0,N37&gt;0,N32&gt;0),AND(N36&gt;0,N37&gt;0,N35&gt;0)),"30分残業","不成立"))</f>
        <v/>
      </c>
      <c r="O40" s="127">
        <f>IF(OR(AND(O36&gt;0,O37&gt;0,O33&gt;0,O34&gt;0),AND(O36&gt;0,O37&gt;0,O34&gt;0,O35&gt;0)),"成立",IF(OR(AND(O36&gt;0,O37&gt;0,O32&gt;0,O34&gt;0),AND(O36&gt;0,O37&gt;0,O32&gt;0),AND(O36&gt;0,O37&gt;0,O35&gt;0)),"30分残業","不成立"))</f>
        <v/>
      </c>
      <c r="P40" s="127">
        <f>IF(OR(AND(P36&gt;0,P37&gt;0,P33&gt;0,P34&gt;0),AND(P36&gt;0,P37&gt;0,P34&gt;0,P35&gt;0)),"成立",IF(OR(AND(P36&gt;0,P37&gt;0,P32&gt;0,P34&gt;0),AND(P36&gt;0,P37&gt;0,P32&gt;0),AND(P36&gt;0,P37&gt;0,P35&gt;0)),"30分残業","不成立"))</f>
        <v/>
      </c>
      <c r="Q40" s="127">
        <f>IF(OR(AND(Q36&gt;0,Q37&gt;0,Q33&gt;0,Q34&gt;0),AND(Q36&gt;0,Q37&gt;0,Q34&gt;0,Q35&gt;0)),"成立",IF(OR(AND(Q36&gt;0,Q37&gt;0,Q32&gt;0,Q34&gt;0),AND(Q36&gt;0,Q37&gt;0,Q32&gt;0),AND(Q36&gt;0,Q37&gt;0,Q35&gt;0)),"30分残業","不成立"))</f>
        <v/>
      </c>
      <c r="R40" s="127">
        <f>IF(OR(AND(R36&gt;0,R37&gt;0,R33&gt;0,R34&gt;0),AND(R36&gt;0,R37&gt;0,R34&gt;0,R35&gt;0)),"成立",IF(OR(AND(R36&gt;0,R37&gt;0,R32&gt;0,R34&gt;0),AND(R36&gt;0,R37&gt;0,R32&gt;0),AND(R36&gt;0,R37&gt;0,R35&gt;0)),"30分残業","不成立"))</f>
        <v/>
      </c>
      <c r="S40" s="127">
        <f>IF(OR(AND(S36&gt;0,S37&gt;0,S33&gt;0,S34&gt;0),AND(S36&gt;0,S37&gt;0,S34&gt;0,S35&gt;0)),"成立",IF(OR(AND(S36&gt;0,S37&gt;0,S32&gt;0,S34&gt;0),AND(S36&gt;0,S37&gt;0,S32&gt;0),AND(S36&gt;0,S37&gt;0,S35&gt;0)),"30分残業","不成立"))</f>
        <v/>
      </c>
      <c r="T40" s="127">
        <f>IF(OR(AND(T36&gt;0,T37&gt;0,T33&gt;0,T34&gt;0),AND(T36&gt;0,T37&gt;0,T34&gt;0,T35&gt;0)),"成立",IF(OR(AND(T36&gt;0,T37&gt;0,T32&gt;0,T34&gt;0),AND(T36&gt;0,T37&gt;0,T32&gt;0),AND(T36&gt;0,T37&gt;0,T35&gt;0)),"30分残業","不成立"))</f>
        <v/>
      </c>
      <c r="U40" s="127">
        <f>IF(OR(AND(U36&gt;0,U37&gt;0,U33&gt;0,U34&gt;0),AND(U36&gt;0,U37&gt;0,U34&gt;0,U35&gt;0)),"成立",IF(OR(AND(U36&gt;0,U37&gt;0,U32&gt;0,U34&gt;0),AND(U36&gt;0,U37&gt;0,U32&gt;0),AND(U36&gt;0,U37&gt;0,U35&gt;0)),"30分残業","不成立"))</f>
        <v/>
      </c>
      <c r="V40" s="127">
        <f>IF(OR(AND(V36&gt;0,V37&gt;0,V33&gt;0,V34&gt;0),AND(V36&gt;0,V37&gt;0,V34&gt;0,V35&gt;0)),"成立",IF(OR(AND(V36&gt;0,V37&gt;0,V32&gt;0,V34&gt;0),AND(V36&gt;0,V37&gt;0,V32&gt;0),AND(V36&gt;0,V37&gt;0,V35&gt;0)),"30分残業","不成立"))</f>
        <v/>
      </c>
      <c r="W40" s="127">
        <f>IF(OR(AND(W36&gt;0,W37&gt;0,W33&gt;0,W34&gt;0),AND(W36&gt;0,W37&gt;0,W34&gt;0,W35&gt;0)),"成立",IF(OR(AND(W36&gt;0,W37&gt;0,W32&gt;0,W34&gt;0),AND(W36&gt;0,W37&gt;0,W32&gt;0),AND(W36&gt;0,W37&gt;0,W35&gt;0)),"30分残業","不成立"))</f>
        <v/>
      </c>
      <c r="X40" s="127">
        <f>IF(OR(AND(X36&gt;0,X37&gt;0,X33&gt;0,X34&gt;0),AND(X36&gt;0,X37&gt;0,X34&gt;0,X35&gt;0)),"成立",IF(OR(AND(X36&gt;0,X37&gt;0,X32&gt;0,X34&gt;0),AND(X36&gt;0,X37&gt;0,X32&gt;0),AND(X36&gt;0,X37&gt;0,X35&gt;0)),"30分残業","不成立"))</f>
        <v/>
      </c>
      <c r="Y40" s="127">
        <f>IF(OR(AND(Y36&gt;0,Y37&gt;0,Y33&gt;0,Y34&gt;0),AND(Y36&gt;0,Y37&gt;0,Y34&gt;0,Y35&gt;0)),"成立",IF(OR(AND(Y36&gt;0,Y37&gt;0,Y32&gt;0,Y34&gt;0),AND(Y36&gt;0,Y37&gt;0,Y32&gt;0),AND(Y36&gt;0,Y37&gt;0,Y35&gt;0)),"30分残業","不成立"))</f>
        <v/>
      </c>
      <c r="Z40" s="127">
        <f>IF(OR(AND(Z36&gt;0,Z37&gt;0,Z33&gt;0,Z34&gt;0),AND(Z36&gt;0,Z37&gt;0,Z34&gt;0,Z35&gt;0)),"成立",IF(OR(AND(Z36&gt;0,Z37&gt;0,Z32&gt;0,Z34&gt;0),AND(Z36&gt;0,Z37&gt;0,Z32&gt;0),AND(Z36&gt;0,Z37&gt;0,Z35&gt;0)),"30分残業","不成立"))</f>
        <v/>
      </c>
      <c r="AA40" s="127">
        <f>IF(OR(AND(AA36&gt;0,AA37&gt;0,AA33&gt;0,AA34&gt;0),AND(AA36&gt;0,AA37&gt;0,AA34&gt;0,AA35&gt;0)),"成立",IF(OR(AND(AA36&gt;0,AA37&gt;0,AA32&gt;0,AA34&gt;0),AND(AA36&gt;0,AA37&gt;0,AA32&gt;0),AND(AA36&gt;0,AA37&gt;0,AA35&gt;0)),"30分残業","不成立"))</f>
        <v/>
      </c>
      <c r="AB40" s="127">
        <f>IF(OR(AND(AB36&gt;0,AB37&gt;0,AB33&gt;0,AB34&gt;0),AND(AB36&gt;0,AB37&gt;0,AB34&gt;0,AB35&gt;0)),"成立",IF(OR(AND(AB36&gt;0,AB37&gt;0,AB32&gt;0,AB34&gt;0),AND(AB36&gt;0,AB37&gt;0,AB32&gt;0),AND(AB36&gt;0,AB37&gt;0,AB35&gt;0)),"30分残業","不成立"))</f>
        <v/>
      </c>
      <c r="AC40" s="127">
        <f>IF(OR(AND(AC36&gt;0,AC37&gt;0,AC33&gt;0,AC34&gt;0),AND(AC36&gt;0,AC37&gt;0,AC34&gt;0,AC35&gt;0)),"成立",IF(OR(AND(AC36&gt;0,AC37&gt;0,AC32&gt;0,AC34&gt;0),AND(AC36&gt;0,AC37&gt;0,AC32&gt;0),AND(AC36&gt;0,AC37&gt;0,AC35&gt;0)),"30分残業","不成立"))</f>
        <v/>
      </c>
      <c r="AD40" s="127">
        <f>IF(OR(AND(AD36&gt;0,AD37&gt;0,AD33&gt;0,AD34&gt;0),AND(AD36&gt;0,AD37&gt;0,AD34&gt;0,AD35&gt;0)),"成立",IF(OR(AND(AD36&gt;0,AD37&gt;0,AD32&gt;0,AD34&gt;0),AND(AD36&gt;0,AD37&gt;0,AD32&gt;0),AND(AD36&gt;0,AD37&gt;0,AD35&gt;0)),"30分残業","不成立"))</f>
        <v/>
      </c>
      <c r="AE40" s="127">
        <f>IF(OR(AND(AE36&gt;0,AE37&gt;0,AE33&gt;0,AE34&gt;0),AND(AE36&gt;0,AE37&gt;0,AE34&gt;0,AE35&gt;0)),"成立",IF(OR(AND(AE36&gt;0,AE37&gt;0,AE32&gt;0,AE34&gt;0),AND(AE36&gt;0,AE37&gt;0,AE32&gt;0),AND(AE36&gt;0,AE37&gt;0,AE35&gt;0)),"30分残業","不成立"))</f>
        <v/>
      </c>
      <c r="AF40" s="127">
        <f>IF(OR(AND(AF36&gt;0,AF37&gt;0,AF33&gt;0,AF34&gt;0),AND(AF36&gt;0,AF37&gt;0,AF34&gt;0,AF35&gt;0)),"成立",IF(OR(AND(AF36&gt;0,AF37&gt;0,AF32&gt;0,AF34&gt;0),AND(AF36&gt;0,AF37&gt;0,AF32&gt;0),AND(AF36&gt;0,AF37&gt;0,AF35&gt;0)),"30分残業","不成立"))</f>
        <v/>
      </c>
      <c r="AG40" s="127">
        <f>IF(OR(AND(AG36&gt;0,AG37&gt;0,AG33&gt;0,AG34&gt;0),AND(AG36&gt;0,AG37&gt;0,AG34&gt;0,AG35&gt;0)),"成立",IF(OR(AND(AG36&gt;0,AG37&gt;0,AG32&gt;0,AG34&gt;0),AND(AG36&gt;0,AG37&gt;0,AG32&gt;0),AND(AG36&gt;0,AG37&gt;0,AG35&gt;0)),"30分残業","不成立"))</f>
        <v/>
      </c>
      <c r="AH40" s="127">
        <f>IF(OR(AND(AH36&gt;0,AH37&gt;0,AH33&gt;0,AH34&gt;0),AND(AH36&gt;0,AH37&gt;0,AH34&gt;0,AH35&gt;0)),"成立",IF(OR(AND(AH36&gt;0,AH37&gt;0,AH32&gt;0,AH34&gt;0),AND(AH36&gt;0,AH37&gt;0,AH32&gt;0),AND(AH36&gt;0,AH37&gt;0,AH35&gt;0)),"30分残業","不成立"))</f>
        <v/>
      </c>
      <c r="AI40" s="127">
        <f>IF(OR(AND(AI36&gt;0,AI37&gt;0,AI33&gt;0,AI34&gt;0),AND(AI36&gt;0,AI37&gt;0,AI34&gt;0,AI35&gt;0)),"成立",IF(OR(AND(AI36&gt;0,AI37&gt;0,AI32&gt;0,AI34&gt;0),AND(AI36&gt;0,AI37&gt;0,AI32&gt;0),AND(AI36&gt;0,AI37&gt;0,AI35&gt;0)),"30分残業","不成立"))</f>
        <v/>
      </c>
      <c r="AJ40" s="61" t="n"/>
      <c r="AL40" s="59" t="n"/>
      <c r="AM40" s="59" t="n"/>
      <c r="AN40" s="59" t="n"/>
    </row>
    <row r="41" ht="25.5" customHeight="1" s="447">
      <c r="A41" s="5" t="n"/>
      <c r="B41" s="55" t="n"/>
      <c r="C41" s="55" t="n"/>
      <c r="D41" s="55" t="n"/>
      <c r="E41" s="56" t="n"/>
      <c r="F41" s="26" t="n"/>
      <c r="G41" s="56" t="n"/>
      <c r="H41" s="56" t="n"/>
      <c r="I41" s="56" t="n"/>
      <c r="J41" s="56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5" t="n"/>
      <c r="AF41" s="55" t="n"/>
      <c r="AG41" s="55" t="n"/>
      <c r="AH41" s="55" t="n"/>
      <c r="AI41" s="55" t="n"/>
      <c r="AJ41" s="5" t="n"/>
    </row>
    <row r="42" ht="36" customHeight="1" s="447" thickBo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</row>
    <row r="43" ht="35.25" customHeight="1" s="447">
      <c r="A43" s="4" t="n"/>
      <c r="B43" s="430" t="inlineStr">
        <is>
          <t>介護関連職員出勤数</t>
        </is>
      </c>
      <c r="C43" s="421" t="inlineStr">
        <is>
          <t>A(9:30-17:30)</t>
        </is>
      </c>
      <c r="D43" s="481" t="n"/>
      <c r="E43" s="62">
        <f>COUNTIF(E$6:E$21,"A")</f>
        <v/>
      </c>
      <c r="F43" s="62">
        <f>COUNTIF(F$6:F$21,"A")</f>
        <v/>
      </c>
      <c r="G43" s="62">
        <f>COUNTIF(G$6:G$21,"A")</f>
        <v/>
      </c>
      <c r="H43" s="62">
        <f>COUNTIF(H$6:H$21,"A")</f>
        <v/>
      </c>
      <c r="I43" s="62">
        <f>COUNTIF(I$6:I$21,"A")</f>
        <v/>
      </c>
      <c r="J43" s="62">
        <f>COUNTIF(J$6:J$21,"A")</f>
        <v/>
      </c>
      <c r="K43" s="62">
        <f>COUNTIF(K$6:K$21,"A")</f>
        <v/>
      </c>
      <c r="L43" s="62">
        <f>COUNTIF(L$6:L$21,"A")</f>
        <v/>
      </c>
      <c r="M43" s="62">
        <f>COUNTIF(M$6:M$21,"A")</f>
        <v/>
      </c>
      <c r="N43" s="62">
        <f>COUNTIF(N$6:N$21,"A")</f>
        <v/>
      </c>
      <c r="O43" s="62">
        <f>COUNTIF(O$6:O$21,"A")</f>
        <v/>
      </c>
      <c r="P43" s="62">
        <f>COUNTIF(P$6:P$21,"A")</f>
        <v/>
      </c>
      <c r="Q43" s="62">
        <f>COUNTIF(Q$6:Q$21,"A")</f>
        <v/>
      </c>
      <c r="R43" s="62">
        <f>COUNTIF(R$6:R$21,"A")</f>
        <v/>
      </c>
      <c r="S43" s="62">
        <f>COUNTIF(S$6:S$21,"A")</f>
        <v/>
      </c>
      <c r="T43" s="62">
        <f>COUNTIF(T$6:T$21,"A")</f>
        <v/>
      </c>
      <c r="U43" s="62">
        <f>COUNTIF(U$6:U$21,"A")</f>
        <v/>
      </c>
      <c r="V43" s="62">
        <f>COUNTIF(V$6:V$21,"A")</f>
        <v/>
      </c>
      <c r="W43" s="62">
        <f>COUNTIF(W$6:W$21,"A")</f>
        <v/>
      </c>
      <c r="X43" s="62">
        <f>COUNTIF(X$6:X$21,"A")</f>
        <v/>
      </c>
      <c r="Y43" s="62">
        <f>COUNTIF(Y$6:Y$21,"A")</f>
        <v/>
      </c>
      <c r="Z43" s="62">
        <f>COUNTIF(Z$6:Z$21,"A")</f>
        <v/>
      </c>
      <c r="AA43" s="62">
        <f>COUNTIF(AA$6:AA$21,"A")</f>
        <v/>
      </c>
      <c r="AB43" s="62">
        <f>COUNTIF(AB$6:AB$21,"A")</f>
        <v/>
      </c>
      <c r="AC43" s="62">
        <f>COUNTIF(AC$6:AC$21,"A")</f>
        <v/>
      </c>
      <c r="AD43" s="62">
        <f>COUNTIF(AD$6:AD$21,"A")</f>
        <v/>
      </c>
      <c r="AE43" s="62">
        <f>COUNTIF(AE$6:AE$21,"A")</f>
        <v/>
      </c>
      <c r="AF43" s="62">
        <f>COUNTIF(AF$6:AF$21,"A")</f>
        <v/>
      </c>
      <c r="AG43" s="62">
        <f>COUNTIF(AG$6:AG$21,"A")</f>
        <v/>
      </c>
      <c r="AH43" s="62">
        <f>COUNTIF(AH$6:AH$21,"A")</f>
        <v/>
      </c>
      <c r="AI43" s="62">
        <f>COUNTIF(AI$6:AI$21,"A")</f>
        <v/>
      </c>
      <c r="AJ43" s="4" t="n"/>
    </row>
    <row r="44" ht="39.75" customHeight="1" s="447">
      <c r="B44" s="460" t="n"/>
      <c r="C44" s="423" t="inlineStr">
        <is>
          <t>B(7:00-16:00)</t>
        </is>
      </c>
      <c r="D44" s="474" t="n"/>
      <c r="E44" s="62">
        <f>COUNTIF(E$6:E$21,"B")</f>
        <v/>
      </c>
      <c r="F44" s="62">
        <f>COUNTIF(F$6:F$21,"B")</f>
        <v/>
      </c>
      <c r="G44" s="62">
        <f>COUNTIF(G$6:G$21,"B")</f>
        <v/>
      </c>
      <c r="H44" s="62">
        <f>COUNTIF(H$6:H$21,"B")</f>
        <v/>
      </c>
      <c r="I44" s="62">
        <f>COUNTIF(I$6:I$21,"B")</f>
        <v/>
      </c>
      <c r="J44" s="62">
        <f>COUNTIF(J$6:J$21,"B")</f>
        <v/>
      </c>
      <c r="K44" s="62">
        <f>COUNTIF(K$6:K$21,"B")</f>
        <v/>
      </c>
      <c r="L44" s="62">
        <f>COUNTIF(L$6:L$21,"B")</f>
        <v/>
      </c>
      <c r="M44" s="62">
        <f>COUNTIF(M$6:M$21,"B")</f>
        <v/>
      </c>
      <c r="N44" s="62">
        <f>COUNTIF(N$6:N$21,"B")</f>
        <v/>
      </c>
      <c r="O44" s="62">
        <f>COUNTIF(O$6:O$21,"B")</f>
        <v/>
      </c>
      <c r="P44" s="62">
        <f>COUNTIF(P$6:P$21,"B")</f>
        <v/>
      </c>
      <c r="Q44" s="62">
        <f>COUNTIF(Q$6:Q$21,"B")</f>
        <v/>
      </c>
      <c r="R44" s="62">
        <f>COUNTIF(R$6:R$21,"B")</f>
        <v/>
      </c>
      <c r="S44" s="62">
        <f>COUNTIF(S$6:S$21,"B")</f>
        <v/>
      </c>
      <c r="T44" s="62">
        <f>COUNTIF(T$6:T$21,"B")</f>
        <v/>
      </c>
      <c r="U44" s="62">
        <f>COUNTIF(U$6:U$21,"B")</f>
        <v/>
      </c>
      <c r="V44" s="62">
        <f>COUNTIF(V$6:V$21,"B")</f>
        <v/>
      </c>
      <c r="W44" s="62">
        <f>COUNTIF(W$6:W$21,"B")</f>
        <v/>
      </c>
      <c r="X44" s="62">
        <f>COUNTIF(X$6:X$21,"B")</f>
        <v/>
      </c>
      <c r="Y44" s="62">
        <f>COUNTIF(Y$6:Y$21,"B")</f>
        <v/>
      </c>
      <c r="Z44" s="62">
        <f>COUNTIF(Z$6:Z$21,"B")</f>
        <v/>
      </c>
      <c r="AA44" s="62">
        <f>COUNTIF(AA$6:AA$21,"B")</f>
        <v/>
      </c>
      <c r="AB44" s="62">
        <f>COUNTIF(AB$6:AB$21,"B")</f>
        <v/>
      </c>
      <c r="AC44" s="62">
        <f>COUNTIF(AC$6:AC$21,"B")</f>
        <v/>
      </c>
      <c r="AD44" s="62">
        <f>COUNTIF(AD$6:AD$21,"B")</f>
        <v/>
      </c>
      <c r="AE44" s="62">
        <f>COUNTIF(AE$6:AE$21,"B")</f>
        <v/>
      </c>
      <c r="AF44" s="62">
        <f>COUNTIF(AF$6:AF$21,"B")</f>
        <v/>
      </c>
      <c r="AG44" s="62">
        <f>COUNTIF(AG$6:AG$21,"B")</f>
        <v/>
      </c>
      <c r="AH44" s="62">
        <f>COUNTIF(AH$6:AH$21,"B")</f>
        <v/>
      </c>
      <c r="AI44" s="62">
        <f>COUNTIF(AI$6:AI$21,"B")</f>
        <v/>
      </c>
    </row>
    <row r="45" ht="29.25" customHeight="1" s="447">
      <c r="B45" s="460" t="n"/>
      <c r="C45" s="423" t="inlineStr">
        <is>
          <t>C(12:30-20:30)</t>
        </is>
      </c>
      <c r="D45" s="474" t="n"/>
      <c r="E45" s="62">
        <f>COUNTIF(E$6:E$21,"C")</f>
        <v/>
      </c>
      <c r="F45" s="62">
        <f>COUNTIF(F$6:F$21,"C")</f>
        <v/>
      </c>
      <c r="G45" s="62">
        <f>COUNTIF(G$6:G$21,"C")</f>
        <v/>
      </c>
      <c r="H45" s="62">
        <f>COUNTIF(H$6:H$21,"C")</f>
        <v/>
      </c>
      <c r="I45" s="62">
        <f>COUNTIF(I$6:I$21,"C")</f>
        <v/>
      </c>
      <c r="J45" s="62">
        <f>COUNTIF(J$6:J$21,"C")</f>
        <v/>
      </c>
      <c r="K45" s="62">
        <f>COUNTIF(K$6:K$21,"C")</f>
        <v/>
      </c>
      <c r="L45" s="62">
        <f>COUNTIF(L$6:L$21,"C")</f>
        <v/>
      </c>
      <c r="M45" s="62">
        <f>COUNTIF(M$6:M$21,"C")</f>
        <v/>
      </c>
      <c r="N45" s="62">
        <f>COUNTIF(N$6:N$21,"C")</f>
        <v/>
      </c>
      <c r="O45" s="62">
        <f>COUNTIF(O$6:O$21,"C")</f>
        <v/>
      </c>
      <c r="P45" s="62">
        <f>COUNTIF(P$6:P$21,"C")</f>
        <v/>
      </c>
      <c r="Q45" s="62">
        <f>COUNTIF(Q$6:Q$21,"C")</f>
        <v/>
      </c>
      <c r="R45" s="62">
        <f>COUNTIF(R$6:R$21,"C")</f>
        <v/>
      </c>
      <c r="S45" s="62">
        <f>COUNTIF(S$6:S$21,"C")</f>
        <v/>
      </c>
      <c r="T45" s="62">
        <f>COUNTIF(T$6:T$21,"C")</f>
        <v/>
      </c>
      <c r="U45" s="62">
        <f>COUNTIF(U$6:U$21,"C")</f>
        <v/>
      </c>
      <c r="V45" s="62">
        <f>COUNTIF(V$6:V$21,"C")</f>
        <v/>
      </c>
      <c r="W45" s="62">
        <f>COUNTIF(W$6:W$21,"C")</f>
        <v/>
      </c>
      <c r="X45" s="62">
        <f>COUNTIF(X$6:X$21,"C")</f>
        <v/>
      </c>
      <c r="Y45" s="62">
        <f>COUNTIF(Y$6:Y$21,"C")</f>
        <v/>
      </c>
      <c r="Z45" s="62">
        <f>COUNTIF(Z$6:Z$21,"C")</f>
        <v/>
      </c>
      <c r="AA45" s="62">
        <f>COUNTIF(AA$6:AA$21,"C")</f>
        <v/>
      </c>
      <c r="AB45" s="62">
        <f>COUNTIF(AB$6:AB$21,"C")</f>
        <v/>
      </c>
      <c r="AC45" s="62">
        <f>COUNTIF(AC$6:AC$21,"C")</f>
        <v/>
      </c>
      <c r="AD45" s="62">
        <f>COUNTIF(AD$6:AD$21,"C")</f>
        <v/>
      </c>
      <c r="AE45" s="62">
        <f>COUNTIF(AE$6:AE$21,"C")</f>
        <v/>
      </c>
      <c r="AF45" s="62">
        <f>COUNTIF(AF$6:AF$21,"C")</f>
        <v/>
      </c>
      <c r="AG45" s="62">
        <f>COUNTIF(AG$6:AG$21,"C")</f>
        <v/>
      </c>
      <c r="AH45" s="62">
        <f>COUNTIF(AH$6:AH$21,"C")</f>
        <v/>
      </c>
      <c r="AI45" s="62">
        <f>COUNTIF(AI$6:AI$21,"C")</f>
        <v/>
      </c>
    </row>
    <row r="46" ht="29.25" customHeight="1" s="447">
      <c r="B46" s="460" t="n"/>
      <c r="C46" s="423" t="inlineStr">
        <is>
          <t>D(8:30-16:30)</t>
        </is>
      </c>
      <c r="D46" s="474" t="n"/>
      <c r="E46" s="62">
        <f>COUNTIF(E$6:E$21,"D")</f>
        <v/>
      </c>
      <c r="F46" s="62">
        <f>COUNTIF(F$6:F$21,"D")</f>
        <v/>
      </c>
      <c r="G46" s="62">
        <f>COUNTIF(G$6:G$21,"D")</f>
        <v/>
      </c>
      <c r="H46" s="62">
        <f>COUNTIF(H$6:H$21,"D")</f>
        <v/>
      </c>
      <c r="I46" s="62">
        <f>COUNTIF(I$6:I$21,"D")</f>
        <v/>
      </c>
      <c r="J46" s="62">
        <f>COUNTIF(J$6:J$21,"D")</f>
        <v/>
      </c>
      <c r="K46" s="62">
        <f>COUNTIF(K$6:K$21,"D")</f>
        <v/>
      </c>
      <c r="L46" s="62">
        <f>COUNTIF(L$6:L$21,"D")</f>
        <v/>
      </c>
      <c r="M46" s="62">
        <f>COUNTIF(M$6:M$21,"D")</f>
        <v/>
      </c>
      <c r="N46" s="62">
        <f>COUNTIF(N$6:N$21,"D")</f>
        <v/>
      </c>
      <c r="O46" s="62">
        <f>COUNTIF(O$6:O$21,"D")</f>
        <v/>
      </c>
      <c r="P46" s="62">
        <f>COUNTIF(P$6:P$21,"D")</f>
        <v/>
      </c>
      <c r="Q46" s="62">
        <f>COUNTIF(Q$6:Q$21,"D")</f>
        <v/>
      </c>
      <c r="R46" s="62">
        <f>COUNTIF(R$6:R$21,"D")</f>
        <v/>
      </c>
      <c r="S46" s="62">
        <f>COUNTIF(S$6:S$21,"D")</f>
        <v/>
      </c>
      <c r="T46" s="62">
        <f>COUNTIF(T$6:T$21,"D")</f>
        <v/>
      </c>
      <c r="U46" s="62">
        <f>COUNTIF(U$6:U$21,"D")</f>
        <v/>
      </c>
      <c r="V46" s="62">
        <f>COUNTIF(V$6:V$21,"D")</f>
        <v/>
      </c>
      <c r="W46" s="62">
        <f>COUNTIF(W$6:W$21,"D")</f>
        <v/>
      </c>
      <c r="X46" s="62">
        <f>COUNTIF(X$6:X$21,"D")</f>
        <v/>
      </c>
      <c r="Y46" s="62">
        <f>COUNTIF(Y$6:Y$21,"D")</f>
        <v/>
      </c>
      <c r="Z46" s="62">
        <f>COUNTIF(Z$6:Z$21,"D")</f>
        <v/>
      </c>
      <c r="AA46" s="62">
        <f>COUNTIF(AA$6:AA$21,"D")</f>
        <v/>
      </c>
      <c r="AB46" s="62">
        <f>COUNTIF(AB$6:AB$21,"D")</f>
        <v/>
      </c>
      <c r="AC46" s="62">
        <f>COUNTIF(AC$6:AC$21,"D")</f>
        <v/>
      </c>
      <c r="AD46" s="62">
        <f>COUNTIF(AD$6:AD$21,"D")</f>
        <v/>
      </c>
      <c r="AE46" s="62">
        <f>COUNTIF(AE$6:AE$21,"D")</f>
        <v/>
      </c>
      <c r="AF46" s="62">
        <f>COUNTIF(AF$6:AF$21,"D")</f>
        <v/>
      </c>
      <c r="AG46" s="62">
        <f>COUNTIF(AG$6:AG$21,"D")</f>
        <v/>
      </c>
      <c r="AH46" s="62">
        <f>COUNTIF(AH$6:AH$21,"D")</f>
        <v/>
      </c>
      <c r="AI46" s="62">
        <f>COUNTIF(AI$6:AI$21,"D")</f>
        <v/>
      </c>
    </row>
    <row r="47" ht="29.25" customHeight="1" s="447">
      <c r="B47" s="460" t="n"/>
      <c r="C47" s="423" t="inlineStr">
        <is>
          <t>E(8:10-17:10)</t>
        </is>
      </c>
      <c r="D47" s="474" t="n"/>
      <c r="E47" s="62">
        <f>COUNTIF(E$6:E$21,"E")</f>
        <v/>
      </c>
      <c r="F47" s="62">
        <f>COUNTIF(F$6:F$21,"E")</f>
        <v/>
      </c>
      <c r="G47" s="62">
        <f>COUNTIF(G$6:G$21,"E")</f>
        <v/>
      </c>
      <c r="H47" s="62">
        <f>COUNTIF(H$6:H$21,"E")</f>
        <v/>
      </c>
      <c r="I47" s="62">
        <f>COUNTIF(I$6:I$21,"E")</f>
        <v/>
      </c>
      <c r="J47" s="62">
        <f>COUNTIF(J$6:J$21,"E")</f>
        <v/>
      </c>
      <c r="K47" s="62">
        <f>COUNTIF(K$6:K$21,"E")</f>
        <v/>
      </c>
      <c r="L47" s="62">
        <f>COUNTIF(L$6:L$21,"E")</f>
        <v/>
      </c>
      <c r="M47" s="62">
        <f>COUNTIF(M$6:M$21,"E")</f>
        <v/>
      </c>
      <c r="N47" s="62">
        <f>COUNTIF(N$6:N$21,"E")</f>
        <v/>
      </c>
      <c r="O47" s="62">
        <f>COUNTIF(O$6:O$21,"E")</f>
        <v/>
      </c>
      <c r="P47" s="62">
        <f>COUNTIF(P$6:P$21,"E")</f>
        <v/>
      </c>
      <c r="Q47" s="62">
        <f>COUNTIF(Q$6:Q$21,"E")</f>
        <v/>
      </c>
      <c r="R47" s="62">
        <f>COUNTIF(R$6:R$21,"E")</f>
        <v/>
      </c>
      <c r="S47" s="62">
        <f>COUNTIF(S$6:S$21,"E")</f>
        <v/>
      </c>
      <c r="T47" s="62">
        <f>COUNTIF(T$6:T$21,"E")</f>
        <v/>
      </c>
      <c r="U47" s="62">
        <f>COUNTIF(U$6:U$21,"E")</f>
        <v/>
      </c>
      <c r="V47" s="62">
        <f>COUNTIF(V$6:V$21,"E")</f>
        <v/>
      </c>
      <c r="W47" s="62">
        <f>COUNTIF(W$6:W$21,"E")</f>
        <v/>
      </c>
      <c r="X47" s="62">
        <f>COUNTIF(X$6:X$21,"E")</f>
        <v/>
      </c>
      <c r="Y47" s="62">
        <f>COUNTIF(Y$6:Y$21,"E")</f>
        <v/>
      </c>
      <c r="Z47" s="62">
        <f>COUNTIF(Z$6:Z$21,"E")</f>
        <v/>
      </c>
      <c r="AA47" s="62">
        <f>COUNTIF(AA$6:AA$21,"E")</f>
        <v/>
      </c>
      <c r="AB47" s="62">
        <f>COUNTIF(AB$6:AB$21,"E")</f>
        <v/>
      </c>
      <c r="AC47" s="62">
        <f>COUNTIF(AC$6:AC$21,"E")</f>
        <v/>
      </c>
      <c r="AD47" s="62">
        <f>COUNTIF(AD$6:AD$21,"E")</f>
        <v/>
      </c>
      <c r="AE47" s="62">
        <f>COUNTIF(AE$6:AE$21,"E")</f>
        <v/>
      </c>
      <c r="AF47" s="62">
        <f>COUNTIF(AF$6:AF$21,"E")</f>
        <v/>
      </c>
      <c r="AG47" s="62">
        <f>COUNTIF(AG$6:AG$21,"E")</f>
        <v/>
      </c>
      <c r="AH47" s="62">
        <f>COUNTIF(AH$6:AH$21,"E")</f>
        <v/>
      </c>
      <c r="AI47" s="62">
        <f>COUNTIF(AI$6:AI$21,"E")</f>
        <v/>
      </c>
    </row>
    <row r="48" ht="29.25" customHeight="1" s="447">
      <c r="B48" s="460" t="n"/>
      <c r="C48" s="423" t="inlineStr">
        <is>
          <t>夜勤(17:00-1:00)</t>
        </is>
      </c>
      <c r="D48" s="474" t="n"/>
      <c r="E48" s="62">
        <f>COUNTIF(E$6:E$21,"夜")</f>
        <v/>
      </c>
      <c r="F48" s="62">
        <f>COUNTIF(F$6:F$21,"夜")</f>
        <v/>
      </c>
      <c r="G48" s="62">
        <f>COUNTIF(G$6:G$21,"夜")</f>
        <v/>
      </c>
      <c r="H48" s="62">
        <f>COUNTIF(H$6:H$21,"夜")</f>
        <v/>
      </c>
      <c r="I48" s="62">
        <f>COUNTIF(I$6:I$21,"夜")</f>
        <v/>
      </c>
      <c r="J48" s="62">
        <f>COUNTIF(J$6:J$21,"夜")</f>
        <v/>
      </c>
      <c r="K48" s="62">
        <f>COUNTIF(K$6:K$21,"夜")</f>
        <v/>
      </c>
      <c r="L48" s="62">
        <f>COUNTIF(L$6:L$21,"夜")</f>
        <v/>
      </c>
      <c r="M48" s="62">
        <f>COUNTIF(M$6:M$21,"夜")</f>
        <v/>
      </c>
      <c r="N48" s="62">
        <f>COUNTIF(N$6:N$21,"夜")</f>
        <v/>
      </c>
      <c r="O48" s="62">
        <f>COUNTIF(O$6:O$21,"夜")</f>
        <v/>
      </c>
      <c r="P48" s="62">
        <f>COUNTIF(P$6:P$21,"夜")</f>
        <v/>
      </c>
      <c r="Q48" s="62">
        <f>COUNTIF(Q$6:Q$21,"夜")</f>
        <v/>
      </c>
      <c r="R48" s="62">
        <f>COUNTIF(R$6:R$21,"夜")</f>
        <v/>
      </c>
      <c r="S48" s="62">
        <f>COUNTIF(S$6:S$21,"夜")</f>
        <v/>
      </c>
      <c r="T48" s="62">
        <f>COUNTIF(T$6:T$21,"夜")</f>
        <v/>
      </c>
      <c r="U48" s="62">
        <f>COUNTIF(U$6:U$21,"夜")</f>
        <v/>
      </c>
      <c r="V48" s="62">
        <f>COUNTIF(V$6:V$21,"夜")</f>
        <v/>
      </c>
      <c r="W48" s="62">
        <f>COUNTIF(W$6:W$21,"夜")</f>
        <v/>
      </c>
      <c r="X48" s="62">
        <f>COUNTIF(X$6:X$21,"夜")</f>
        <v/>
      </c>
      <c r="Y48" s="62">
        <f>COUNTIF(Y$6:Y$21,"夜")</f>
        <v/>
      </c>
      <c r="Z48" s="62">
        <f>COUNTIF(Z$6:Z$21,"夜")</f>
        <v/>
      </c>
      <c r="AA48" s="62">
        <f>COUNTIF(AA$6:AA$21,"夜")</f>
        <v/>
      </c>
      <c r="AB48" s="62">
        <f>COUNTIF(AB$6:AB$21,"夜")</f>
        <v/>
      </c>
      <c r="AC48" s="62">
        <f>COUNTIF(AC$6:AC$21,"夜")</f>
        <v/>
      </c>
      <c r="AD48" s="62">
        <f>COUNTIF(AD$6:AD$21,"夜")</f>
        <v/>
      </c>
      <c r="AE48" s="62">
        <f>COUNTIF(AE$6:AE$21,"夜")</f>
        <v/>
      </c>
      <c r="AF48" s="62">
        <f>COUNTIF(AF$6:AF$21,"夜")</f>
        <v/>
      </c>
      <c r="AG48" s="62">
        <f>COUNTIF(AG$6:AG$21,"夜")</f>
        <v/>
      </c>
      <c r="AH48" s="62">
        <f>COUNTIF(AH$6:AH$21,"夜")</f>
        <v/>
      </c>
      <c r="AI48" s="62">
        <f>COUNTIF(AI$6:AI$21,"夜")</f>
        <v/>
      </c>
    </row>
    <row r="49" ht="29.25" customHeight="1" s="447">
      <c r="B49" s="460" t="n"/>
      <c r="C49" s="423" t="inlineStr">
        <is>
          <t>明け(1:00-9:00)</t>
        </is>
      </c>
      <c r="D49" s="474" t="n"/>
      <c r="E49" s="62">
        <f>COUNTIF(E$6:E$21,"明")</f>
        <v/>
      </c>
      <c r="F49" s="62">
        <f>COUNTIF(F$6:F$21,"明")</f>
        <v/>
      </c>
      <c r="G49" s="62">
        <f>COUNTIF(G$6:G$21,"明")</f>
        <v/>
      </c>
      <c r="H49" s="62">
        <f>COUNTIF(H$6:H$21,"明")</f>
        <v/>
      </c>
      <c r="I49" s="62">
        <f>COUNTIF(I$6:I$21,"明")</f>
        <v/>
      </c>
      <c r="J49" s="62">
        <f>COUNTIF(J$6:J$21,"明")</f>
        <v/>
      </c>
      <c r="K49" s="62">
        <f>COUNTIF(K$6:K$21,"明")</f>
        <v/>
      </c>
      <c r="L49" s="62">
        <f>COUNTIF(L$6:L$21,"明")</f>
        <v/>
      </c>
      <c r="M49" s="62">
        <f>COUNTIF(M$6:M$21,"明")</f>
        <v/>
      </c>
      <c r="N49" s="62">
        <f>COUNTIF(N$6:N$21,"明")</f>
        <v/>
      </c>
      <c r="O49" s="62">
        <f>COUNTIF(O$6:O$21,"明")</f>
        <v/>
      </c>
      <c r="P49" s="62">
        <f>COUNTIF(P$6:P$21,"明")</f>
        <v/>
      </c>
      <c r="Q49" s="62">
        <f>COUNTIF(Q$6:Q$21,"明")</f>
        <v/>
      </c>
      <c r="R49" s="62">
        <f>COUNTIF(R$6:R$21,"明")</f>
        <v/>
      </c>
      <c r="S49" s="62">
        <f>COUNTIF(S$6:S$21,"明")</f>
        <v/>
      </c>
      <c r="T49" s="62">
        <f>COUNTIF(T$6:T$21,"明")</f>
        <v/>
      </c>
      <c r="U49" s="62">
        <f>COUNTIF(U$6:U$21,"明")</f>
        <v/>
      </c>
      <c r="V49" s="62">
        <f>COUNTIF(V$6:V$21,"明")</f>
        <v/>
      </c>
      <c r="W49" s="62">
        <f>COUNTIF(W$6:W$21,"明")</f>
        <v/>
      </c>
      <c r="X49" s="62">
        <f>COUNTIF(X$6:X$21,"明")</f>
        <v/>
      </c>
      <c r="Y49" s="62">
        <f>COUNTIF(Y$6:Y$21,"明")</f>
        <v/>
      </c>
      <c r="Z49" s="62">
        <f>COUNTIF(Z$6:Z$21,"明")</f>
        <v/>
      </c>
      <c r="AA49" s="62">
        <f>COUNTIF(AA$6:AA$21,"明")</f>
        <v/>
      </c>
      <c r="AB49" s="62">
        <f>COUNTIF(AB$6:AB$21,"明")</f>
        <v/>
      </c>
      <c r="AC49" s="62">
        <f>COUNTIF(AC$6:AC$21,"明")</f>
        <v/>
      </c>
      <c r="AD49" s="62">
        <f>COUNTIF(AD$6:AD$21,"明")</f>
        <v/>
      </c>
      <c r="AE49" s="62">
        <f>COUNTIF(AE$6:AE$21,"明")</f>
        <v/>
      </c>
      <c r="AF49" s="62">
        <f>COUNTIF(AF$6:AF$21,"明")</f>
        <v/>
      </c>
      <c r="AG49" s="62">
        <f>COUNTIF(AG$6:AG$21,"明")</f>
        <v/>
      </c>
      <c r="AH49" s="62">
        <f>COUNTIF(AH$6:AH$21,"明")</f>
        <v/>
      </c>
      <c r="AI49" s="62">
        <f>COUNTIF(AI$6:AI$21,"明")</f>
        <v/>
      </c>
    </row>
    <row r="50" ht="29.25" customHeight="1" s="447">
      <c r="B50" s="460" t="n"/>
      <c r="C50" s="426" t="inlineStr">
        <is>
          <t>出勤合計</t>
        </is>
      </c>
      <c r="D50" s="474" t="n"/>
      <c r="E50" s="62">
        <f>SUM(E43:E49)</f>
        <v/>
      </c>
      <c r="F50" s="62">
        <f>SUM(F43:F49)</f>
        <v/>
      </c>
      <c r="G50" s="62">
        <f>SUM(G43:G49)</f>
        <v/>
      </c>
      <c r="H50" s="62">
        <f>SUM(H43:H49)</f>
        <v/>
      </c>
      <c r="I50" s="62">
        <f>SUM(I43:I49)</f>
        <v/>
      </c>
      <c r="J50" s="62">
        <f>SUM(J43:J49)</f>
        <v/>
      </c>
      <c r="K50" s="62">
        <f>SUM(K43:K49)</f>
        <v/>
      </c>
      <c r="L50" s="62">
        <f>SUM(L43:L49)</f>
        <v/>
      </c>
      <c r="M50" s="62">
        <f>SUM(M43:M49)</f>
        <v/>
      </c>
      <c r="N50" s="62">
        <f>SUM(N43:N49)</f>
        <v/>
      </c>
      <c r="O50" s="62">
        <f>SUM(O43:O49)</f>
        <v/>
      </c>
      <c r="P50" s="62">
        <f>SUM(P43:P49)</f>
        <v/>
      </c>
      <c r="Q50" s="62">
        <f>SUM(Q43:Q49)</f>
        <v/>
      </c>
      <c r="R50" s="62">
        <f>SUM(R43:R49)</f>
        <v/>
      </c>
      <c r="S50" s="62">
        <f>SUM(S43:S49)</f>
        <v/>
      </c>
      <c r="T50" s="62">
        <f>SUM(T43:T49)</f>
        <v/>
      </c>
      <c r="U50" s="62">
        <f>SUM(U43:U49)</f>
        <v/>
      </c>
      <c r="V50" s="62">
        <f>SUM(V43:V49)</f>
        <v/>
      </c>
      <c r="W50" s="62">
        <f>SUM(W43:W49)</f>
        <v/>
      </c>
      <c r="X50" s="62">
        <f>SUM(X43:X49)</f>
        <v/>
      </c>
      <c r="Y50" s="62">
        <f>SUM(Y43:Y49)</f>
        <v/>
      </c>
      <c r="Z50" s="62">
        <f>SUM(Z43:Z49)</f>
        <v/>
      </c>
      <c r="AA50" s="62">
        <f>SUM(AA43:AA49)</f>
        <v/>
      </c>
      <c r="AB50" s="62">
        <f>SUM(AB43:AB49)</f>
        <v/>
      </c>
      <c r="AC50" s="62">
        <f>SUM(AC43:AC49)</f>
        <v/>
      </c>
      <c r="AD50" s="62">
        <f>SUM(AD43:AD49)</f>
        <v/>
      </c>
      <c r="AE50" s="62">
        <f>SUM(AE43:AE49)</f>
        <v/>
      </c>
      <c r="AF50" s="62">
        <f>SUM(AF43:AF49)</f>
        <v/>
      </c>
      <c r="AG50" s="62">
        <f>SUM(AG43:AG49)</f>
        <v/>
      </c>
      <c r="AH50" s="62">
        <f>SUM(AH43:AH49)</f>
        <v/>
      </c>
      <c r="AI50" s="62">
        <f>SUM(AI43:AI49)</f>
        <v/>
      </c>
    </row>
    <row r="51" ht="29.25" customHeight="1" s="447">
      <c r="B51" s="460" t="n"/>
      <c r="C51" s="426" t="inlineStr">
        <is>
          <t>休日・有給</t>
        </is>
      </c>
      <c r="D51" s="474" t="n"/>
      <c r="E51" s="62">
        <f>COUNTIF(E$6:E$21,"休")+COUNTIF(E$6:E$21,"希")+COUNTIF(E$6:E$21,"有")</f>
        <v/>
      </c>
      <c r="F51" s="62">
        <f>COUNTIF(F$6:F$21,"休")+COUNTIF(F$6:F$21,"希")+COUNTIF(F$6:F$21,"有")</f>
        <v/>
      </c>
      <c r="G51" s="62">
        <f>COUNTIF(G$6:G$21,"休")+COUNTIF(G$6:G$21,"希")+COUNTIF(G$6:G$21,"有")</f>
        <v/>
      </c>
      <c r="H51" s="62">
        <f>COUNTIF(H$6:H$21,"休")+COUNTIF(H$6:H$21,"希")+COUNTIF(H$6:H$21,"有")</f>
        <v/>
      </c>
      <c r="I51" s="62">
        <f>COUNTIF(I$6:I$21,"休")+COUNTIF(I$6:I$21,"希")+COUNTIF(I$6:I$21,"有")</f>
        <v/>
      </c>
      <c r="J51" s="62">
        <f>COUNTIF(J$6:J$21,"休")+COUNTIF(J$6:J$21,"希")+COUNTIF(J$6:J$21,"有")</f>
        <v/>
      </c>
      <c r="K51" s="62">
        <f>COUNTIF(K$6:K$21,"休")+COUNTIF(K$6:K$21,"希")+COUNTIF(K$6:K$21,"有")</f>
        <v/>
      </c>
      <c r="L51" s="62">
        <f>COUNTIF(L$6:L$21,"休")+COUNTIF(L$6:L$21,"希")+COUNTIF(L$6:L$21,"有")</f>
        <v/>
      </c>
      <c r="M51" s="62">
        <f>COUNTIF(M$6:M$21,"休")+COUNTIF(M$6:M$21,"希")+COUNTIF(M$6:M$21,"有")</f>
        <v/>
      </c>
      <c r="N51" s="62">
        <f>COUNTIF(N$6:N$21,"休")+COUNTIF(N$6:N$21,"希")+COUNTIF(N$6:N$21,"有")</f>
        <v/>
      </c>
      <c r="O51" s="62">
        <f>COUNTIF(O$6:O$21,"休")+COUNTIF(O$6:O$21,"希")+COUNTIF(O$6:O$21,"有")</f>
        <v/>
      </c>
      <c r="P51" s="62">
        <f>COUNTIF(P$6:P$21,"休")+COUNTIF(P$6:P$21,"希")+COUNTIF(P$6:P$21,"有")</f>
        <v/>
      </c>
      <c r="Q51" s="62">
        <f>COUNTIF(Q$6:Q$21,"休")+COUNTIF(Q$6:Q$21,"希")+COUNTIF(Q$6:Q$21,"有")</f>
        <v/>
      </c>
      <c r="R51" s="62">
        <f>COUNTIF(R$6:R$21,"休")+COUNTIF(R$6:R$21,"希")+COUNTIF(R$6:R$21,"有")</f>
        <v/>
      </c>
      <c r="S51" s="62">
        <f>COUNTIF(S$6:S$21,"休")+COUNTIF(S$6:S$21,"希")+COUNTIF(S$6:S$21,"有")</f>
        <v/>
      </c>
      <c r="T51" s="62">
        <f>COUNTIF(T$6:T$21,"休")+COUNTIF(T$6:T$21,"希")+COUNTIF(T$6:T$21,"有")</f>
        <v/>
      </c>
      <c r="U51" s="62">
        <f>COUNTIF(U$6:U$21,"休")+COUNTIF(U$6:U$21,"希")+COUNTIF(U$6:U$21,"有")</f>
        <v/>
      </c>
      <c r="V51" s="62">
        <f>COUNTIF(V$6:V$21,"休")+COUNTIF(V$6:V$21,"希")+COUNTIF(V$6:V$21,"有")</f>
        <v/>
      </c>
      <c r="W51" s="62">
        <f>COUNTIF(W$6:W$21,"休")+COUNTIF(W$6:W$21,"希")+COUNTIF(W$6:W$21,"有")</f>
        <v/>
      </c>
      <c r="X51" s="62">
        <f>COUNTIF(X$6:X$21,"休")+COUNTIF(X$6:X$21,"希")+COUNTIF(X$6:X$21,"有")</f>
        <v/>
      </c>
      <c r="Y51" s="62">
        <f>COUNTIF(Y$6:Y$21,"休")+COUNTIF(Y$6:Y$21,"希")+COUNTIF(Y$6:Y$21,"有")</f>
        <v/>
      </c>
      <c r="Z51" s="62">
        <f>COUNTIF(Z$6:Z$21,"休")+COUNTIF(Z$6:Z$21,"希")+COUNTIF(Z$6:Z$21,"有")</f>
        <v/>
      </c>
      <c r="AA51" s="62">
        <f>COUNTIF(AA$6:AA$21,"休")+COUNTIF(AA$6:AA$21,"希")+COUNTIF(AA$6:AA$21,"有")</f>
        <v/>
      </c>
      <c r="AB51" s="62">
        <f>COUNTIF(AB$6:AB$21,"休")+COUNTIF(AB$6:AB$21,"希")+COUNTIF(AB$6:AB$21,"有")</f>
        <v/>
      </c>
      <c r="AC51" s="62">
        <f>COUNTIF(AC$6:AC$21,"休")+COUNTIF(AC$6:AC$21,"希")+COUNTIF(AC$6:AC$21,"有")</f>
        <v/>
      </c>
      <c r="AD51" s="62">
        <f>COUNTIF(AD$6:AD$21,"休")+COUNTIF(AD$6:AD$21,"希")+COUNTIF(AD$6:AD$21,"有")</f>
        <v/>
      </c>
      <c r="AE51" s="62">
        <f>COUNTIF(AE$6:AE$21,"休")+COUNTIF(AE$6:AE$21,"希")+COUNTIF(AE$6:AE$21,"有")</f>
        <v/>
      </c>
      <c r="AF51" s="62">
        <f>COUNTIF(AF$6:AF$21,"休")+COUNTIF(AF$6:AF$21,"希")+COUNTIF(AF$6:AF$21,"有")</f>
        <v/>
      </c>
      <c r="AG51" s="62">
        <f>COUNTIF(AG$6:AG$21,"休")+COUNTIF(AG$6:AG$21,"希")+COUNTIF(AG$6:AG$21,"有")</f>
        <v/>
      </c>
      <c r="AH51" s="62">
        <f>COUNTIF(AH$6:AH$21,"休")+COUNTIF(AH$6:AH$21,"希")+COUNTIF(AH$6:AH$21,"有")</f>
        <v/>
      </c>
      <c r="AI51" s="62">
        <f>COUNTIF(AI$6:AI$21,"休")+COUNTIF(AI$6:AI$21,"希")+COUNTIF(AI$6:AI$21,"有")</f>
        <v/>
      </c>
    </row>
    <row r="52" ht="29.25" customHeight="1" s="447" thickBot="1">
      <c r="B52" s="461" t="n"/>
      <c r="C52" s="428" t="inlineStr">
        <is>
          <t>シフト成立</t>
        </is>
      </c>
      <c r="D52" s="479" t="n"/>
      <c r="E52" s="128">
        <f>IF(AND(E43&gt;=1,E44&gt;=1,E45&gt;=1,E46&gt;=1,E48&gt;=1,E49&gt;=1),"成立",IF(AND(E48&gt;=1,E49&gt;=1,E44&gt;=1,E45&gt;=1,E46&gt;=1),"条件付","不成立"))</f>
        <v/>
      </c>
      <c r="F52" s="128">
        <f>IF(AND(F43&gt;=1,F44&gt;=1,F45&gt;=1,F46&gt;=1,F48&gt;=1,F49&gt;=1),"成立",IF(AND(F48&gt;=1,F49&gt;=1,F44&gt;=1,F45&gt;=1,F46&gt;=1),"条件付","不成立"))</f>
        <v/>
      </c>
      <c r="G52" s="128">
        <f>IF(AND(G43&gt;=1,G44&gt;=1,G45&gt;=1,G46&gt;=1,G48&gt;=1,G49&gt;=1),"成立",IF(AND(G48&gt;=1,G49&gt;=1,G44&gt;=1,G45&gt;=1,G46&gt;=1),"条件付","不成立"))</f>
        <v/>
      </c>
      <c r="H52" s="128">
        <f>IF(AND(H43&gt;=1,H44&gt;=1,H45&gt;=1,H46&gt;=1,H48&gt;=1,H49&gt;=1),"成立",IF(AND(H48&gt;=1,H49&gt;=1,H44&gt;=1,H45&gt;=1,H46&gt;=1),"条件付","不成立"))</f>
        <v/>
      </c>
      <c r="I52" s="128">
        <f>IF(AND(I43&gt;=1,I44&gt;=1,I45&gt;=1,I46&gt;=1,I48&gt;=1,I49&gt;=1),"成立",IF(AND(I48&gt;=1,I49&gt;=1,I44&gt;=1,I45&gt;=1,I46&gt;=1),"条件付","不成立"))</f>
        <v/>
      </c>
      <c r="J52" s="128">
        <f>IF(AND(J43&gt;=1,J44&gt;=1,J45&gt;=1,J46&gt;=1,J48&gt;=1,J49&gt;=1),"成立",IF(AND(J48&gt;=1,J49&gt;=1,J44&gt;=1,J45&gt;=1,J46&gt;=1),"条件付","不成立"))</f>
        <v/>
      </c>
      <c r="K52" s="128">
        <f>IF(AND(K43&gt;=1,K44&gt;=1,K45&gt;=1,K46&gt;=1,K48&gt;=1,K49&gt;=1),"成立",IF(AND(K48&gt;=1,K49&gt;=1,K44&gt;=1,K45&gt;=1,K46&gt;=1),"条件付","不成立"))</f>
        <v/>
      </c>
      <c r="L52" s="128">
        <f>IF(AND(L43&gt;=1,L44&gt;=1,L45&gt;=1,L46&gt;=1,L48&gt;=1,L49&gt;=1),"成立",IF(AND(L48&gt;=1,L49&gt;=1,L44&gt;=1,L45&gt;=1,L46&gt;=1),"条件付","不成立"))</f>
        <v/>
      </c>
      <c r="M52" s="128">
        <f>IF(AND(M43&gt;=1,M44&gt;=1,M45&gt;=1,M46&gt;=1,M48&gt;=1,M49&gt;=1),"成立",IF(AND(M48&gt;=1,M49&gt;=1,M44&gt;=1,M45&gt;=1,M46&gt;=1),"条件付","不成立"))</f>
        <v/>
      </c>
      <c r="N52" s="128">
        <f>IF(AND(N43&gt;=1,N44&gt;=1,N45&gt;=1,N46&gt;=1,N48&gt;=1,N49&gt;=1),"成立",IF(AND(N48&gt;=1,N49&gt;=1,N44&gt;=1,N45&gt;=1,N46&gt;=1),"条件付","不成立"))</f>
        <v/>
      </c>
      <c r="O52" s="128">
        <f>IF(AND(O43&gt;=1,O44&gt;=1,O45&gt;=1,O46&gt;=1,O48&gt;=1,O49&gt;=1),"成立",IF(AND(O48&gt;=1,O49&gt;=1,O44&gt;=1,O45&gt;=1,O46&gt;=1),"条件付","不成立"))</f>
        <v/>
      </c>
      <c r="P52" s="128">
        <f>IF(AND(P43&gt;=1,P44&gt;=1,P45&gt;=1,P46&gt;=1,P48&gt;=1,P49&gt;=1),"成立",IF(AND(P48&gt;=1,P49&gt;=1,P44&gt;=1,P45&gt;=1,P46&gt;=1),"条件付","不成立"))</f>
        <v/>
      </c>
      <c r="Q52" s="128">
        <f>IF(AND(Q43&gt;=1,Q44&gt;=1,Q45&gt;=1,Q46&gt;=1,Q48&gt;=1,Q49&gt;=1),"成立",IF(AND(Q48&gt;=1,Q49&gt;=1,Q44&gt;=1,Q45&gt;=1,Q46&gt;=1),"条件付","不成立"))</f>
        <v/>
      </c>
      <c r="R52" s="128">
        <f>IF(AND(R43&gt;=1,R44&gt;=1,R45&gt;=1,R46&gt;=1,R48&gt;=1,R49&gt;=1),"成立",IF(AND(R48&gt;=1,R49&gt;=1,R44&gt;=1,R45&gt;=1,R46&gt;=1),"条件付","不成立"))</f>
        <v/>
      </c>
      <c r="S52" s="128">
        <f>IF(AND(S43&gt;=1,S44&gt;=1,S45&gt;=1,S46&gt;=1,S48&gt;=1,S49&gt;=1),"成立",IF(AND(S48&gt;=1,S49&gt;=1,S44&gt;=1,S45&gt;=1,S46&gt;=1),"条件付","不成立"))</f>
        <v/>
      </c>
      <c r="T52" s="128">
        <f>IF(AND(T43&gt;=1,T44&gt;=1,T45&gt;=1,T46&gt;=1,T48&gt;=1,T49&gt;=1),"成立",IF(AND(T48&gt;=1,T49&gt;=1,T44&gt;=1,T45&gt;=1,T46&gt;=1),"条件付","不成立"))</f>
        <v/>
      </c>
      <c r="U52" s="128">
        <f>IF(AND(U43&gt;=1,U44&gt;=1,U45&gt;=1,U46&gt;=1,U48&gt;=1,U49&gt;=1),"成立",IF(AND(U48&gt;=1,U49&gt;=1,U44&gt;=1,U45&gt;=1,U46&gt;=1),"条件付","不成立"))</f>
        <v/>
      </c>
      <c r="V52" s="128">
        <f>IF(AND(V43&gt;=1,V44&gt;=1,V45&gt;=1,V46&gt;=1,V48&gt;=1,V49&gt;=1),"成立",IF(AND(V48&gt;=1,V49&gt;=1,V44&gt;=1,V45&gt;=1,V46&gt;=1),"条件付","不成立"))</f>
        <v/>
      </c>
      <c r="W52" s="128">
        <f>IF(AND(W43&gt;=1,W44&gt;=1,W45&gt;=1,W46&gt;=1,W48&gt;=1,W49&gt;=1),"成立",IF(AND(W48&gt;=1,W49&gt;=1,W44&gt;=1,W45&gt;=1,W46&gt;=1),"条件付","不成立"))</f>
        <v/>
      </c>
      <c r="X52" s="128">
        <f>IF(AND(X43&gt;=1,X44&gt;=1,X45&gt;=1,X46&gt;=1,X48&gt;=1,X49&gt;=1),"成立",IF(AND(X48&gt;=1,X49&gt;=1,X44&gt;=1,X45&gt;=1,X46&gt;=1),"条件付","不成立"))</f>
        <v/>
      </c>
      <c r="Y52" s="128">
        <f>IF(AND(Y43&gt;=1,Y44&gt;=1,Y45&gt;=1,Y46&gt;=1,Y48&gt;=1,Y49&gt;=1),"成立",IF(AND(Y48&gt;=1,Y49&gt;=1,Y44&gt;=1,Y45&gt;=1,Y46&gt;=1),"条件付","不成立"))</f>
        <v/>
      </c>
      <c r="Z52" s="128">
        <f>IF(AND(Z43&gt;=1,Z44&gt;=1,Z45&gt;=1,Z46&gt;=1,Z48&gt;=1,Z49&gt;=1),"成立",IF(AND(Z48&gt;=1,Z49&gt;=1,Z44&gt;=1,Z45&gt;=1,Z46&gt;=1),"条件付","不成立"))</f>
        <v/>
      </c>
      <c r="AA52" s="128">
        <f>IF(AND(AA43&gt;=1,AA44&gt;=1,AA45&gt;=1,AA46&gt;=1,AA48&gt;=1,AA49&gt;=1),"成立",IF(AND(AA48&gt;=1,AA49&gt;=1,AA44&gt;=1,AA45&gt;=1,AA46&gt;=1),"条件付","不成立"))</f>
        <v/>
      </c>
      <c r="AB52" s="128">
        <f>IF(AND(AB43&gt;=1,AB44&gt;=1,AB45&gt;=1,AB46&gt;=1,AB48&gt;=1,AB49&gt;=1),"成立",IF(AND(AB48&gt;=1,AB49&gt;=1,AB44&gt;=1,AB45&gt;=1,AB46&gt;=1),"条件付","不成立"))</f>
        <v/>
      </c>
      <c r="AC52" s="128">
        <f>IF(AND(AC43&gt;=1,AC44&gt;=1,AC45&gt;=1,AC46&gt;=1,AC48&gt;=1,AC49&gt;=1),"成立",IF(AND(AC48&gt;=1,AC49&gt;=1,AC44&gt;=1,AC45&gt;=1,AC46&gt;=1),"条件付","不成立"))</f>
        <v/>
      </c>
      <c r="AD52" s="128">
        <f>IF(AND(AD43&gt;=1,AD44&gt;=1,AD45&gt;=1,AD46&gt;=1,AD48&gt;=1,AD49&gt;=1),"成立",IF(AND(AD48&gt;=1,AD49&gt;=1,AD44&gt;=1,AD45&gt;=1,AD46&gt;=1),"条件付","不成立"))</f>
        <v/>
      </c>
      <c r="AE52" s="128">
        <f>IF(AND(AE43&gt;=1,AE44&gt;=1,AE45&gt;=1,AE46&gt;=1,AE48&gt;=1,AE49&gt;=1),"成立",IF(AND(AE48&gt;=1,AE49&gt;=1,AE44&gt;=1,AE45&gt;=1,AE46&gt;=1),"条件付","不成立"))</f>
        <v/>
      </c>
      <c r="AF52" s="128">
        <f>IF(AND(AF43&gt;=1,AF44&gt;=1,AF45&gt;=1,AF46&gt;=1,AF48&gt;=1,AF49&gt;=1),"成立",IF(AND(AF48&gt;=1,AF49&gt;=1,AF44&gt;=1,AF45&gt;=1,AF46&gt;=1),"条件付","不成立"))</f>
        <v/>
      </c>
      <c r="AG52" s="128">
        <f>IF(AND(AG43&gt;=1,AG44&gt;=1,AG45&gt;=1,AG46&gt;=1,AG48&gt;=1,AG49&gt;=1),"成立",IF(AND(AG48&gt;=1,AG49&gt;=1,AG44&gt;=1,AG45&gt;=1,AG46&gt;=1),"条件付","不成立"))</f>
        <v/>
      </c>
      <c r="AH52" s="128">
        <f>IF(AND(AH43&gt;=1,AH44&gt;=1,AH45&gt;=1,AH46&gt;=1,AH48&gt;=1,AH49&gt;=1),"成立",IF(AND(AH48&gt;=1,AH49&gt;=1,AH44&gt;=1,AH45&gt;=1,AH46&gt;=1),"条件付","不成立"))</f>
        <v/>
      </c>
      <c r="AI52" s="128">
        <f>IF(AND(AI43&gt;=1,AI44&gt;=1,AI45&gt;=1,AI46&gt;=1,AI48&gt;=1,AI49&gt;=1),"成立",IF(AND(AI48&gt;=1,AI49&gt;=1,AI44&gt;=1,AI45&gt;=1,AI46&gt;=1),"条件付","不成立"))</f>
        <v/>
      </c>
    </row>
    <row r="53" ht="29.25" customHeight="1" s="447"/>
    <row r="54" ht="29.25" customHeight="1" s="447"/>
    <row r="55" ht="29.25" customHeight="1" s="447">
      <c r="AK55" s="125" t="n"/>
      <c r="AL55" s="125" t="n"/>
      <c r="AM55" s="125" t="n"/>
      <c r="AN55" s="125" t="n"/>
      <c r="AO55" s="125" t="n"/>
      <c r="AP55" s="125" t="n"/>
      <c r="AQ55" s="125" t="n"/>
      <c r="AR55" s="125" t="n"/>
      <c r="AS55" s="125" t="n"/>
      <c r="AT55" s="125" t="n"/>
      <c r="AU55" s="125" t="n"/>
      <c r="AV55" s="125" t="n"/>
      <c r="AW55" s="125" t="n"/>
      <c r="AX55" s="125" t="n"/>
      <c r="AY55" s="125" t="n"/>
    </row>
    <row r="56" ht="29.25" customHeight="1" s="447">
      <c r="AK56" s="125" t="n"/>
      <c r="AL56" s="125" t="n"/>
      <c r="AM56" s="125" t="n"/>
      <c r="AN56" s="125" t="n"/>
      <c r="AO56" s="125" t="n"/>
      <c r="AP56" s="125" t="n"/>
      <c r="AQ56" s="125" t="n"/>
      <c r="AR56" s="125" t="n"/>
      <c r="AS56" s="125" t="n"/>
      <c r="AT56" s="125" t="n"/>
      <c r="AU56" s="125" t="n"/>
      <c r="AV56" s="125" t="n"/>
      <c r="AW56" s="125" t="n"/>
      <c r="AX56" s="125" t="n"/>
      <c r="AY56" s="125" t="n"/>
    </row>
    <row r="57" ht="29.25" customHeight="1" s="447">
      <c r="AK57" s="125" t="n"/>
      <c r="AL57" s="125" t="n"/>
      <c r="AM57" s="125" t="n"/>
      <c r="AN57" s="125" t="n"/>
      <c r="AO57" s="125" t="n"/>
      <c r="AP57" s="125" t="n"/>
      <c r="AQ57" s="125" t="n"/>
      <c r="AR57" s="125" t="n"/>
      <c r="AS57" s="125" t="n"/>
      <c r="AT57" s="125" t="n"/>
      <c r="AU57" s="125" t="n"/>
      <c r="AV57" s="125" t="n"/>
      <c r="AW57" s="125" t="n"/>
      <c r="AX57" s="125" t="n"/>
      <c r="AY57" s="125" t="n"/>
    </row>
    <row r="58" ht="29.25" customHeight="1" s="447">
      <c r="AK58" s="125" t="n"/>
      <c r="AL58" s="125" t="n"/>
      <c r="AM58" s="125" t="n"/>
      <c r="AN58" s="125" t="n"/>
      <c r="AO58" s="125" t="n"/>
      <c r="AP58" s="125" t="n"/>
      <c r="AQ58" s="125" t="n"/>
      <c r="AR58" s="125" t="n"/>
      <c r="AS58" s="125" t="n"/>
      <c r="AT58" s="125" t="n"/>
      <c r="AU58" s="125" t="n"/>
      <c r="AV58" s="125" t="n"/>
      <c r="AW58" s="125" t="n"/>
      <c r="AX58" s="125" t="n"/>
      <c r="AY58" s="125" t="n"/>
    </row>
    <row r="59" ht="29.25" customHeight="1" s="447">
      <c r="AK59" s="125" t="n"/>
      <c r="AL59" s="125" t="n"/>
      <c r="AM59" s="125" t="n"/>
      <c r="AN59" s="125" t="n"/>
      <c r="AO59" s="125" t="n"/>
      <c r="AP59" s="125" t="n"/>
      <c r="AQ59" s="125" t="n"/>
      <c r="AR59" s="125" t="n"/>
      <c r="AS59" s="125" t="n"/>
      <c r="AT59" s="125" t="n"/>
      <c r="AU59" s="125" t="n"/>
      <c r="AV59" s="125" t="n"/>
      <c r="AW59" s="125" t="n"/>
      <c r="AX59" s="125" t="n"/>
      <c r="AY59" s="125" t="n"/>
    </row>
    <row r="60" ht="29.25" customHeight="1" s="447">
      <c r="AK60" s="125" t="n"/>
      <c r="AL60" s="125" t="n"/>
      <c r="AM60" s="125" t="n"/>
      <c r="AN60" s="125" t="n"/>
      <c r="AO60" s="125" t="n"/>
      <c r="AP60" s="125" t="n"/>
      <c r="AQ60" s="125" t="n"/>
      <c r="AR60" s="125" t="n"/>
      <c r="AS60" s="125" t="n"/>
      <c r="AT60" s="125" t="n"/>
      <c r="AU60" s="125" t="n"/>
      <c r="AV60" s="125" t="n"/>
      <c r="AW60" s="125" t="n"/>
      <c r="AX60" s="125" t="n"/>
      <c r="AY60" s="125" t="n"/>
    </row>
    <row r="61" ht="29.25" customHeight="1" s="447">
      <c r="AK61" s="125" t="n"/>
      <c r="AL61" s="125" t="n"/>
      <c r="AM61" s="125" t="n"/>
      <c r="AN61" s="125" t="n"/>
      <c r="AO61" s="125" t="n"/>
      <c r="AP61" s="125" t="n"/>
      <c r="AQ61" s="125" t="n"/>
      <c r="AR61" s="125" t="n"/>
      <c r="AS61" s="125" t="n"/>
      <c r="AT61" s="125" t="n"/>
      <c r="AU61" s="125" t="n"/>
      <c r="AV61" s="125" t="n"/>
      <c r="AW61" s="125" t="n"/>
      <c r="AX61" s="125" t="n"/>
      <c r="AY61" s="125" t="n"/>
    </row>
    <row r="62" ht="29.25" customHeight="1" s="447">
      <c r="AK62" s="125" t="n"/>
      <c r="AL62" s="125" t="n"/>
      <c r="AM62" s="125" t="n"/>
      <c r="AN62" s="125" t="n"/>
      <c r="AO62" s="125" t="n"/>
      <c r="AP62" s="125" t="n"/>
      <c r="AQ62" s="125" t="n"/>
      <c r="AR62" s="125" t="n"/>
      <c r="AS62" s="125" t="n"/>
      <c r="AT62" s="125" t="n"/>
      <c r="AU62" s="125" t="n"/>
      <c r="AV62" s="125" t="n"/>
      <c r="AW62" s="125" t="n"/>
      <c r="AX62" s="125" t="n"/>
      <c r="AY62" s="125" t="n"/>
    </row>
    <row r="63" ht="29.25" customHeight="1" s="447">
      <c r="AK63" s="125" t="n"/>
      <c r="AL63" s="125" t="n"/>
      <c r="AM63" s="125" t="n"/>
      <c r="AN63" s="125" t="n"/>
      <c r="AO63" s="125" t="n"/>
      <c r="AP63" s="125" t="n"/>
      <c r="AQ63" s="125" t="n"/>
      <c r="AR63" s="125" t="n"/>
      <c r="AS63" s="125" t="n"/>
      <c r="AT63" s="125" t="n"/>
      <c r="AU63" s="125" t="n"/>
      <c r="AV63" s="125" t="n"/>
      <c r="AW63" s="125" t="n"/>
      <c r="AX63" s="125" t="n"/>
      <c r="AY63" s="125" t="n"/>
    </row>
    <row r="64" ht="29.25" customHeight="1" s="447">
      <c r="AK64" s="125" t="n"/>
      <c r="AL64" s="125" t="n"/>
      <c r="AM64" s="125" t="n"/>
      <c r="AN64" s="125" t="n"/>
      <c r="AO64" s="125" t="n"/>
      <c r="AP64" s="125" t="n"/>
      <c r="AQ64" s="125" t="n"/>
      <c r="AR64" s="125" t="n"/>
      <c r="AS64" s="125" t="n"/>
      <c r="AT64" s="125" t="n"/>
      <c r="AU64" s="125" t="n"/>
      <c r="AV64" s="125" t="n"/>
      <c r="AW64" s="125" t="n"/>
      <c r="AX64" s="125" t="n"/>
      <c r="AY64" s="125" t="n"/>
    </row>
    <row r="65" ht="29.25" customHeight="1" s="447"/>
    <row r="66" ht="29.25" customHeight="1" s="447"/>
    <row r="67" ht="29.25" customHeight="1" s="447"/>
    <row r="68" ht="29.25" customHeight="1" s="447"/>
    <row r="69" ht="29.25" customHeight="1" s="447"/>
    <row r="70" ht="29.25" customHeight="1" s="447"/>
    <row r="71" ht="29.25" customHeight="1" s="447"/>
    <row r="72" ht="29.25" customHeight="1" s="447"/>
    <row r="73" ht="29.25" customHeight="1" s="447"/>
    <row r="74" ht="29.25" customHeight="1" s="447"/>
    <row r="75" ht="29.25" customHeight="1" s="447"/>
    <row r="76" ht="29.25" customHeight="1" s="447"/>
    <row r="77" ht="29.25" customHeight="1" s="447"/>
    <row r="78" ht="29.25" customHeight="1" s="447"/>
    <row r="79" ht="29.25" customHeight="1" s="447"/>
    <row r="80" ht="29.25" customHeight="1" s="447"/>
    <row r="81" ht="29.25" customHeight="1" s="447"/>
    <row r="82" ht="29.25" customHeight="1" s="447"/>
    <row r="83" ht="29.25" customHeight="1" s="447"/>
    <row r="84" ht="29.25" customHeight="1" s="447"/>
    <row r="85" ht="29.25" customHeight="1" s="447"/>
    <row r="86" ht="29.25" customHeight="1" s="447"/>
    <row r="87" ht="29.25" customHeight="1" s="447"/>
    <row r="88" ht="29.25" customHeight="1" s="447"/>
    <row r="89" ht="29.25" customHeight="1" s="447"/>
    <row r="90" ht="29.25" customHeight="1" s="447"/>
    <row r="91" ht="29.25" customHeight="1" s="447"/>
    <row r="92" ht="29.25" customHeight="1" s="447"/>
    <row r="93" ht="29.25" customHeight="1" s="447"/>
    <row r="94" ht="29.25" customHeight="1" s="447"/>
    <row r="95" ht="29.25" customHeight="1" s="447"/>
    <row r="96" ht="29.25" customHeight="1" s="447"/>
    <row r="97" ht="29.25" customHeight="1" s="447"/>
    <row r="98" ht="29.25" customHeight="1" s="447"/>
    <row r="99" ht="29.25" customHeight="1" s="447"/>
    <row r="100" ht="29.25" customHeight="1" s="447"/>
    <row r="101" ht="29.25" customHeight="1" s="447"/>
    <row r="102" ht="29.25" customHeight="1" s="447"/>
    <row r="103" ht="29.25" customHeight="1" s="447"/>
    <row r="104" ht="29.25" customHeight="1" s="447"/>
    <row r="105" ht="29.25" customHeight="1" s="447"/>
    <row r="106" ht="29.25" customHeight="1" s="447"/>
    <row r="107" ht="29.25" customHeight="1" s="447"/>
    <row r="108" ht="29.25" customHeight="1" s="447"/>
    <row r="109" ht="29.25" customHeight="1" s="447"/>
  </sheetData>
  <mergeCells count="25">
    <mergeCell ref="C34:D34"/>
    <mergeCell ref="C33:D33"/>
    <mergeCell ref="B4:D5"/>
    <mergeCell ref="C45:D45"/>
    <mergeCell ref="J2:M2"/>
    <mergeCell ref="C35:D35"/>
    <mergeCell ref="C47:D47"/>
    <mergeCell ref="B43:B52"/>
    <mergeCell ref="C50:D50"/>
    <mergeCell ref="C44:D44"/>
    <mergeCell ref="C40:D40"/>
    <mergeCell ref="C43:D43"/>
    <mergeCell ref="C46:D46"/>
    <mergeCell ref="C51:D51"/>
    <mergeCell ref="C36:D36"/>
    <mergeCell ref="C52:D52"/>
    <mergeCell ref="C48:D48"/>
    <mergeCell ref="B32:B40"/>
    <mergeCell ref="C39:D39"/>
    <mergeCell ref="C32:D32"/>
    <mergeCell ref="C38:D38"/>
    <mergeCell ref="C37:D37"/>
    <mergeCell ref="E2:H2"/>
    <mergeCell ref="C49:D49"/>
    <mergeCell ref="AB3:AI3"/>
  </mergeCells>
  <conditionalFormatting sqref="E11:AH11">
    <cfRule type="containsText" priority="138" operator="containsText" dxfId="35" text="有">
      <formula>NOT(ISERROR(SEARCH("有",E11)))</formula>
    </cfRule>
    <cfRule type="containsText" priority="144" operator="containsText" dxfId="1" text="B">
      <formula>NOT(ISERROR(SEARCH("B",E11)))</formula>
    </cfRule>
    <cfRule type="containsText" priority="143" operator="containsText" dxfId="1" text="D">
      <formula>NOT(ISERROR(SEARCH("D",E11)))</formula>
    </cfRule>
    <cfRule type="containsText" priority="142" operator="containsText" dxfId="10" text="C">
      <formula>NOT(ISERROR(SEARCH("C",E11)))</formula>
    </cfRule>
    <cfRule type="containsText" priority="141" operator="containsText" dxfId="8" text="夜">
      <formula>NOT(ISERROR(SEARCH("夜",E11)))</formula>
    </cfRule>
    <cfRule type="containsText" priority="140" operator="containsText" dxfId="8" text="明">
      <formula>NOT(ISERROR(SEARCH("明",E11)))</formula>
    </cfRule>
    <cfRule type="containsText" priority="137" operator="containsText" dxfId="5" text="正">
      <formula>NOT(ISERROR(SEARCH("正",E11)))</formula>
    </cfRule>
    <cfRule type="containsText" priority="136" operator="containsText" dxfId="4" text="休">
      <formula>NOT(ISERROR(SEARCH("休",E11)))</formula>
    </cfRule>
    <cfRule type="containsText" priority="135" operator="containsText" dxfId="32" text="希">
      <formula>NOT(ISERROR(SEARCH("希",E11)))</formula>
    </cfRule>
    <cfRule type="containsText" priority="134" operator="containsText" dxfId="2" text="研">
      <formula>NOT(ISERROR(SEARCH("研",E11)))</formula>
    </cfRule>
    <cfRule type="containsText" priority="133" operator="containsText" dxfId="1" text="E">
      <formula>NOT(ISERROR(SEARCH("E",E11)))</formula>
    </cfRule>
    <cfRule type="containsText" priority="132" operator="containsText" dxfId="13" text="A">
      <formula>NOT(ISERROR(SEARCH("A",E11)))</formula>
    </cfRule>
    <cfRule type="containsText" priority="139" operator="containsText" dxfId="7" text="調">
      <formula>NOT(ISERROR(SEARCH("調",E11)))</formula>
    </cfRule>
  </conditionalFormatting>
  <conditionalFormatting sqref="E5:AI5">
    <cfRule type="containsText" priority="263" operator="containsText" dxfId="58" text="土">
      <formula>NOT(ISERROR(SEARCH("土",E5)))</formula>
    </cfRule>
    <cfRule type="containsText" priority="264" operator="containsText" dxfId="57" text="日">
      <formula>NOT(ISERROR(SEARCH("日",E5)))</formula>
    </cfRule>
  </conditionalFormatting>
  <conditionalFormatting sqref="E6:AI10">
    <cfRule type="containsText" priority="34" operator="containsText" dxfId="35" text="有">
      <formula>NOT(ISERROR(SEARCH("有",E6)))</formula>
    </cfRule>
    <cfRule type="containsText" priority="35" operator="containsText" dxfId="7" text="調">
      <formula>NOT(ISERROR(SEARCH("調",E6)))</formula>
    </cfRule>
    <cfRule type="containsText" priority="36" operator="containsText" dxfId="8" text="明">
      <formula>NOT(ISERROR(SEARCH("明",E6)))</formula>
    </cfRule>
    <cfRule type="containsText" priority="37" operator="containsText" dxfId="8" text="夜">
      <formula>NOT(ISERROR(SEARCH("夜",E6)))</formula>
    </cfRule>
    <cfRule type="containsText" priority="38" operator="containsText" dxfId="10" text="C">
      <formula>NOT(ISERROR(SEARCH("C",E6)))</formula>
    </cfRule>
    <cfRule type="containsText" priority="39" operator="containsText" dxfId="1" text="D">
      <formula>NOT(ISERROR(SEARCH("D",E6)))</formula>
    </cfRule>
    <cfRule type="containsText" priority="40" operator="containsText" dxfId="1" text="B">
      <formula>NOT(ISERROR(SEARCH("B",E6)))</formula>
    </cfRule>
    <cfRule type="containsText" priority="32" operator="containsText" dxfId="4" text="休">
      <formula>NOT(ISERROR(SEARCH("休",E6)))</formula>
    </cfRule>
    <cfRule type="containsText" priority="31" operator="containsText" dxfId="32" text="希">
      <formula>NOT(ISERROR(SEARCH("希",E6)))</formula>
    </cfRule>
    <cfRule type="containsText" priority="30" operator="containsText" dxfId="2" text="研">
      <formula>NOT(ISERROR(SEARCH("研",E6)))</formula>
    </cfRule>
    <cfRule type="containsText" priority="29" operator="containsText" dxfId="1" text="E">
      <formula>NOT(ISERROR(SEARCH("E",E6)))</formula>
    </cfRule>
    <cfRule type="containsText" priority="28" operator="containsText" dxfId="13" text="A">
      <formula>NOT(ISERROR(SEARCH("A",E6)))</formula>
    </cfRule>
    <cfRule type="containsText" priority="33" operator="containsText" dxfId="5" text="正">
      <formula>NOT(ISERROR(SEARCH("正",E6)))</formula>
    </cfRule>
  </conditionalFormatting>
  <conditionalFormatting sqref="E12:AI21">
    <cfRule type="containsText" priority="261" operator="containsText" dxfId="1" text="E">
      <formula>NOT(ISERROR(SEARCH("E",E12)))</formula>
    </cfRule>
  </conditionalFormatting>
  <conditionalFormatting sqref="E12:AI22">
    <cfRule type="containsText" priority="255" operator="containsText" dxfId="13" text="A">
      <formula>NOT(ISERROR(SEARCH("A",E12)))</formula>
    </cfRule>
    <cfRule type="containsText" priority="273" operator="containsText" dxfId="1" text="D">
      <formula>NOT(ISERROR(SEARCH("D",E12)))</formula>
    </cfRule>
    <cfRule type="containsText" priority="274" operator="containsText" dxfId="1" text="B">
      <formula>NOT(ISERROR(SEARCH("B",E12)))</formula>
    </cfRule>
    <cfRule type="containsText" priority="272" operator="containsText" dxfId="10" text="C">
      <formula>NOT(ISERROR(SEARCH("C",E12)))</formula>
    </cfRule>
    <cfRule type="containsText" priority="271" operator="containsText" dxfId="8" text="夜">
      <formula>NOT(ISERROR(SEARCH("夜",E12)))</formula>
    </cfRule>
    <cfRule type="containsText" priority="270" operator="containsText" dxfId="8" text="明">
      <formula>NOT(ISERROR(SEARCH("明",E12)))</formula>
    </cfRule>
    <cfRule type="containsText" priority="269" operator="containsText" dxfId="7" text="調">
      <formula>NOT(ISERROR(SEARCH("調",E12)))</formula>
    </cfRule>
    <cfRule type="containsText" priority="268" operator="containsText" dxfId="35" text="有">
      <formula>NOT(ISERROR(SEARCH("有",E12)))</formula>
    </cfRule>
    <cfRule type="containsText" priority="267" operator="containsText" dxfId="5" text="正">
      <formula>NOT(ISERROR(SEARCH("正",E12)))</formula>
    </cfRule>
    <cfRule type="containsText" priority="266" operator="containsText" dxfId="4" text="休">
      <formula>NOT(ISERROR(SEARCH("休",E12)))</formula>
    </cfRule>
    <cfRule type="containsText" priority="265" operator="containsText" dxfId="32" text="希">
      <formula>NOT(ISERROR(SEARCH("希",E12)))</formula>
    </cfRule>
    <cfRule type="containsText" priority="262" operator="containsText" dxfId="2" text="研">
      <formula>NOT(ISERROR(SEARCH("研",E12)))</formula>
    </cfRule>
  </conditionalFormatting>
  <conditionalFormatting sqref="E32:AI37">
    <cfRule type="cellIs" priority="9" operator="equal" dxfId="25">
      <formula>0</formula>
    </cfRule>
  </conditionalFormatting>
  <conditionalFormatting sqref="E39:AI39">
    <cfRule type="cellIs" priority="8" operator="equal" dxfId="25">
      <formula>0</formula>
    </cfRule>
  </conditionalFormatting>
  <conditionalFormatting sqref="E40:AI40">
    <cfRule type="containsText" priority="7" operator="containsText" dxfId="28" stopIfTrue="1" text="不成立">
      <formula>NOT(ISERROR(SEARCH("不成立",E40)))</formula>
    </cfRule>
    <cfRule type="containsText" priority="6" operator="containsText" dxfId="23" stopIfTrue="1" text="30分残業">
      <formula>NOT(ISERROR(SEARCH("30分残業",E40)))</formula>
    </cfRule>
  </conditionalFormatting>
  <conditionalFormatting sqref="E43:AI50">
    <cfRule type="cellIs" priority="5" operator="equal" dxfId="25">
      <formula>0</formula>
    </cfRule>
  </conditionalFormatting>
  <conditionalFormatting sqref="E52:AI52">
    <cfRule type="cellIs" priority="4" operator="equal" dxfId="25">
      <formula>0</formula>
    </cfRule>
    <cfRule type="containsText" priority="3" operator="containsText" dxfId="24" stopIfTrue="1" text="不成立">
      <formula>NOT(ISERROR(SEARCH("不成立",E52)))</formula>
    </cfRule>
    <cfRule type="containsText" priority="2" operator="containsText" dxfId="23" text="条件付">
      <formula>NOT(ISERROR(SEARCH("条件付",E52)))</formula>
    </cfRule>
  </conditionalFormatting>
  <conditionalFormatting sqref="F22:G22">
    <cfRule type="containsText" priority="260" operator="containsText" dxfId="1" text="E">
      <formula>NOT(ISERROR(SEARCH("E",F22)))</formula>
    </cfRule>
  </conditionalFormatting>
  <conditionalFormatting sqref="M22:N22">
    <cfRule type="containsText" priority="259" operator="containsText" dxfId="1" text="E">
      <formula>NOT(ISERROR(SEARCH("E",M22)))</formula>
    </cfRule>
  </conditionalFormatting>
  <conditionalFormatting sqref="M22:O22">
    <cfRule type="containsText" priority="254" operator="containsText" dxfId="1" text="E">
      <formula>NOT(ISERROR(SEARCH("E",M22)))</formula>
    </cfRule>
  </conditionalFormatting>
  <conditionalFormatting sqref="T22">
    <cfRule type="containsText" priority="258" operator="containsText" dxfId="1" text="E">
      <formula>NOT(ISERROR(SEARCH("E",T22)))</formula>
    </cfRule>
  </conditionalFormatting>
  <conditionalFormatting sqref="T22:W22">
    <cfRule type="containsText" priority="253" operator="containsText" dxfId="1" text="E">
      <formula>NOT(ISERROR(SEARCH("E",T22)))</formula>
    </cfRule>
  </conditionalFormatting>
  <conditionalFormatting sqref="AA22">
    <cfRule type="containsText" priority="257" operator="containsText" dxfId="1" text="E">
      <formula>NOT(ISERROR(SEARCH("E",AA22)))</formula>
    </cfRule>
  </conditionalFormatting>
  <conditionalFormatting sqref="AB22:AC22">
    <cfRule type="containsText" priority="252" operator="containsText" dxfId="1" text="E">
      <formula>NOT(ISERROR(SEARCH("E",AB22)))</formula>
    </cfRule>
  </conditionalFormatting>
  <conditionalFormatting sqref="AH22">
    <cfRule type="containsText" priority="256" operator="containsText" dxfId="1" text="E">
      <formula>NOT(ISERROR(SEARCH("E",AH22)))</formula>
    </cfRule>
  </conditionalFormatting>
  <conditionalFormatting sqref="AI11">
    <cfRule type="containsText" priority="237" operator="containsText" dxfId="14" text="F">
      <formula>NOT(ISERROR(SEARCH("F",AI11)))</formula>
    </cfRule>
    <cfRule type="containsText" priority="250" operator="containsText" dxfId="13" text="A">
      <formula>NOT(ISERROR(SEARCH("A",AI11)))</formula>
    </cfRule>
    <cfRule type="containsText" priority="249" operator="containsText" dxfId="1" text="B">
      <formula>NOT(ISERROR(SEARCH("B",AI11)))</formula>
    </cfRule>
    <cfRule type="containsText" priority="248" operator="containsText" dxfId="1" text="D">
      <formula>NOT(ISERROR(SEARCH("D",AI11)))</formula>
    </cfRule>
    <cfRule type="containsText" priority="247" operator="containsText" dxfId="10" text="C">
      <formula>NOT(ISERROR(SEARCH("C",AI11)))</formula>
    </cfRule>
    <cfRule type="containsText" priority="246" operator="containsText" dxfId="8" text="夜">
      <formula>NOT(ISERROR(SEARCH("夜",AI11)))</formula>
    </cfRule>
    <cfRule type="containsText" priority="245" operator="containsText" dxfId="8" text="明">
      <formula>NOT(ISERROR(SEARCH("明",AI11)))</formula>
    </cfRule>
    <cfRule type="containsText" priority="244" operator="containsText" dxfId="7" text="調">
      <formula>NOT(ISERROR(SEARCH("調",AI11)))</formula>
    </cfRule>
    <cfRule type="containsText" priority="243" operator="containsText" dxfId="5" text="有">
      <formula>NOT(ISERROR(SEARCH("有",AI11)))</formula>
    </cfRule>
    <cfRule type="containsText" priority="242" operator="containsText" dxfId="5" text="正">
      <formula>NOT(ISERROR(SEARCH("正",AI11)))</formula>
    </cfRule>
    <cfRule type="containsText" priority="241" operator="containsText" dxfId="4" text="休">
      <formula>NOT(ISERROR(SEARCH("休",AI11)))</formula>
    </cfRule>
    <cfRule type="containsText" priority="240" operator="containsText" dxfId="3" text="希">
      <formula>NOT(ISERROR(SEARCH("希",AI11)))</formula>
    </cfRule>
    <cfRule type="containsText" priority="239" operator="containsText" dxfId="2" text="研">
      <formula>NOT(ISERROR(SEARCH("研",AI11)))</formula>
    </cfRule>
    <cfRule type="containsText" priority="238" operator="containsText" dxfId="1" text="E">
      <formula>NOT(ISERROR(SEARCH("E",AI11)))</formula>
    </cfRule>
    <cfRule type="containsText" priority="236" operator="containsText" text="G">
      <formula>NOT(ISERROR(SEARCH("G",AI11)))</formula>
    </cfRule>
  </conditionalFormatting>
  <conditionalFormatting sqref="AY6:AY30">
    <cfRule type="containsText" priority="1" operator="containsText" dxfId="0" text="NG">
      <formula>NOT(ISERROR(SEARCH("NG",AY6)))</formula>
    </cfRule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2:E16"/>
  <sheetViews>
    <sheetView workbookViewId="0">
      <selection activeCell="D9" sqref="D9"/>
    </sheetView>
  </sheetViews>
  <sheetFormatPr baseColWidth="10" defaultColWidth="10.83203125" defaultRowHeight="14"/>
  <cols>
    <col width="14.5" customWidth="1" style="447" min="2" max="2"/>
  </cols>
  <sheetData>
    <row r="1" ht="15" customHeight="1" s="447" thickBot="1"/>
    <row r="2" ht="26" customHeight="1" s="447">
      <c r="A2" s="41" t="inlineStr">
        <is>
          <t>Ａ</t>
        </is>
      </c>
      <c r="B2" s="40" t="inlineStr">
        <is>
          <t>Ｅ</t>
        </is>
      </c>
      <c r="C2" s="29" t="inlineStr">
        <is>
          <t>調</t>
        </is>
      </c>
      <c r="E2" s="0" t="inlineStr">
        <is>
          <t>常勤/専従</t>
        </is>
      </c>
    </row>
    <row r="3" ht="26" customHeight="1" s="447">
      <c r="A3" s="49" t="inlineStr">
        <is>
          <t>Ｂ</t>
        </is>
      </c>
      <c r="B3" s="49" t="inlineStr">
        <is>
          <t>Ｆ</t>
        </is>
      </c>
      <c r="C3" s="31" t="inlineStr">
        <is>
          <t>調</t>
        </is>
      </c>
      <c r="E3" s="0" t="inlineStr">
        <is>
          <t>常勤/兼任</t>
        </is>
      </c>
    </row>
    <row r="4" ht="26" customHeight="1" s="447">
      <c r="A4" s="30" t="inlineStr">
        <is>
          <t>Ｃ</t>
        </is>
      </c>
      <c r="B4" s="37" t="inlineStr">
        <is>
          <t>希</t>
        </is>
      </c>
      <c r="C4" s="87" t="inlineStr">
        <is>
          <t>調</t>
        </is>
      </c>
      <c r="E4" s="0" t="inlineStr">
        <is>
          <t>非常勤/専従</t>
        </is>
      </c>
    </row>
    <row r="5" ht="26" customHeight="1" s="447">
      <c r="A5" s="40" t="inlineStr">
        <is>
          <t>Ｄ</t>
        </is>
      </c>
      <c r="B5" s="39" t="inlineStr">
        <is>
          <t>休</t>
        </is>
      </c>
      <c r="E5" s="0" t="inlineStr">
        <is>
          <t>非常勤/兼任</t>
        </is>
      </c>
    </row>
    <row r="6" ht="26" customHeight="1" s="447">
      <c r="A6" s="40" t="inlineStr">
        <is>
          <t>Ｅ</t>
        </is>
      </c>
      <c r="B6" s="80" t="inlineStr">
        <is>
          <t>有</t>
        </is>
      </c>
    </row>
    <row r="7" ht="26" customHeight="1" s="447">
      <c r="A7" s="38" t="inlineStr">
        <is>
          <t>夜</t>
        </is>
      </c>
      <c r="B7" s="54" t="n"/>
    </row>
    <row r="8" ht="26" customHeight="1" s="447">
      <c r="A8" s="38" t="inlineStr">
        <is>
          <t>明</t>
        </is>
      </c>
      <c r="B8" s="54" t="n"/>
    </row>
    <row r="9" ht="26" customHeight="1" s="447">
      <c r="A9" s="37" t="inlineStr">
        <is>
          <t>希</t>
        </is>
      </c>
      <c r="B9" s="54" t="n"/>
    </row>
    <row r="10" ht="26" customHeight="1" s="447">
      <c r="A10" s="39" t="inlineStr">
        <is>
          <t>休</t>
        </is>
      </c>
      <c r="B10" s="54" t="n"/>
    </row>
    <row r="11" ht="26" customHeight="1" s="447">
      <c r="A11" s="80" t="inlineStr">
        <is>
          <t>有</t>
        </is>
      </c>
      <c r="B11" s="54" t="n"/>
    </row>
    <row r="12" ht="26" customHeight="1" s="447">
      <c r="A12" s="86" t="inlineStr">
        <is>
          <t>健</t>
        </is>
      </c>
      <c r="B12" s="54" t="n"/>
    </row>
    <row r="13" ht="27" customHeight="1" s="447" thickBot="1">
      <c r="A13" s="86" t="inlineStr">
        <is>
          <t>研</t>
        </is>
      </c>
      <c r="B13" s="54" t="n"/>
    </row>
    <row r="14" ht="24" customHeight="1" s="447">
      <c r="A14" s="29" t="inlineStr">
        <is>
          <t>調1</t>
        </is>
      </c>
      <c r="B14" s="54" t="n"/>
    </row>
    <row r="15" ht="26" customHeight="1" s="447">
      <c r="A15" s="31" t="inlineStr">
        <is>
          <t>調2</t>
        </is>
      </c>
      <c r="B15" s="54" t="n"/>
    </row>
    <row r="16" ht="19" customHeight="1" s="447">
      <c r="B16" s="54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FJ-USER</dc:creator>
  <dcterms:created xmlns:dcterms="http://purl.org/dc/terms/" xmlns:xsi="http://www.w3.org/2001/XMLSchema-instance" xsi:type="dcterms:W3CDTF">2014-12-09T06:54:12Z</dcterms:created>
  <dcterms:modified xmlns:dcterms="http://purl.org/dc/terms/" xmlns:xsi="http://www.w3.org/2001/XMLSchema-instance" xsi:type="dcterms:W3CDTF">2026-04-21T23:34:36Z</dcterms:modified>
  <cp:lastModifiedBy>赤瀬文成</cp:lastModifiedBy>
  <cp:lastPrinted>2026-01-29T12:16:57Z</cp:lastPrinted>
</cp:coreProperties>
</file>